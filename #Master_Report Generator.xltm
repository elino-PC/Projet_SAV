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filterPrivacy="1" codeName="ThisWorkbook"/>
  <xr:revisionPtr revIDLastSave="0" documentId="8_{AC857872-24B5-4E7E-9757-B2B7017BBEA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victron energy" sheetId="1" r:id="rId1"/>
    <sheet name="Fronius" sheetId="2" r:id="rId2"/>
    <sheet name="SMA" sheetId="3" r:id="rId3"/>
    <sheet name="meteocontrol" sheetId="4" r:id="rId4"/>
  </sheets>
  <definedNames>
    <definedName name="_xlnm._FilterDatabase" localSheetId="0" hidden="1">'victron energy'!$A$1:$R$1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62" i="2"/>
  <c r="E7" i="3" l="1"/>
  <c r="E8" i="3"/>
  <c r="H7" i="1"/>
  <c r="E3" i="3"/>
  <c r="E4" i="3"/>
  <c r="E5" i="3"/>
  <c r="E6" i="3"/>
  <c r="E2" i="3"/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H88" i="1" l="1"/>
  <c r="H87" i="1"/>
  <c r="M30" i="2" l="1"/>
  <c r="M58" i="2" l="1"/>
</calcChain>
</file>

<file path=xl/sharedStrings.xml><?xml version="1.0" encoding="utf-8"?>
<sst xmlns="http://schemas.openxmlformats.org/spreadsheetml/2006/main" count="1947" uniqueCount="448">
  <si>
    <t>Nom Installation</t>
  </si>
  <si>
    <t>Début</t>
  </si>
  <si>
    <t>Aliraza BERAVY</t>
  </si>
  <si>
    <t>Amandine ANAKAO</t>
  </si>
  <si>
    <t>Anakao Club</t>
  </si>
  <si>
    <t>Bakuba 5KVA</t>
  </si>
  <si>
    <t>Base 2 Martin Pecheur</t>
  </si>
  <si>
    <t>BEL AVENIR MANGILY AGRO</t>
  </si>
  <si>
    <t>BELAZA (IHSM)</t>
  </si>
  <si>
    <t>Blueventures Andavadoaka</t>
  </si>
  <si>
    <t>Centre Anani</t>
  </si>
  <si>
    <t>Charpentier</t>
  </si>
  <si>
    <t>Chez Alain</t>
  </si>
  <si>
    <t>CHRR ITASY SOLAR 23</t>
  </si>
  <si>
    <t>CHU MAHAVOKY MAHAJANGA</t>
  </si>
  <si>
    <t>CHU MORAFENO TAMATAVE</t>
  </si>
  <si>
    <t>Didier</t>
  </si>
  <si>
    <t>djavad</t>
  </si>
  <si>
    <t>Fred Pascal Solaire</t>
  </si>
  <si>
    <t>Futurmap</t>
  </si>
  <si>
    <t>Hotel Nautilus</t>
  </si>
  <si>
    <t>Hotel Royal Sakalava</t>
  </si>
  <si>
    <t>Hôtel Sarimanok</t>
  </si>
  <si>
    <t>Hotel Serena</t>
  </si>
  <si>
    <t>Hubert_CUR</t>
  </si>
  <si>
    <t>IBK Madiorano</t>
  </si>
  <si>
    <t>IFVM</t>
  </si>
  <si>
    <t>Jardin vanille</t>
  </si>
  <si>
    <t>KAD AKAMASOA ECOLE DE FELIX</t>
  </si>
  <si>
    <t>Karenjy</t>
  </si>
  <si>
    <t>Le Kaboss</t>
  </si>
  <si>
    <t>Lotissements Nassir</t>
  </si>
  <si>
    <t>Madagreen - Eden Ecolodge</t>
  </si>
  <si>
    <t>Madawatt - Chez Peter Pan</t>
  </si>
  <si>
    <t>Maningory</t>
  </si>
  <si>
    <t>Marc Fenn</t>
  </si>
  <si>
    <t>Mario (Mangily)</t>
  </si>
  <si>
    <t>MGP Tuléar</t>
  </si>
  <si>
    <t>MHM Ambovo</t>
  </si>
  <si>
    <t>PAM Amboasary</t>
  </si>
  <si>
    <t>PAM Ambovombe</t>
  </si>
  <si>
    <t>PAM AMPANIHY</t>
  </si>
  <si>
    <t>PAM BEKILY</t>
  </si>
  <si>
    <t>Philippe et Isabelle</t>
  </si>
  <si>
    <t>Radama camp</t>
  </si>
  <si>
    <t>Résidence Salime Ivandry</t>
  </si>
  <si>
    <t>REV Antranokarany</t>
  </si>
  <si>
    <t>Sakatia Passion</t>
  </si>
  <si>
    <t>SAMBATEX</t>
  </si>
  <si>
    <t>Showroom Nosy Be</t>
  </si>
  <si>
    <t>Solar23 CHU Diego</t>
  </si>
  <si>
    <t>Sophie Glacier</t>
  </si>
  <si>
    <t>SOS VE Bekily</t>
  </si>
  <si>
    <t>SOS VE BETIOKY</t>
  </si>
  <si>
    <t>SOSVE Beloha</t>
  </si>
  <si>
    <t>Tatie Chris</t>
  </si>
  <si>
    <t>Villa NASSIR MALAGA</t>
  </si>
  <si>
    <t>Vovotelo</t>
  </si>
  <si>
    <t>Warda</t>
  </si>
  <si>
    <t>Oui</t>
  </si>
  <si>
    <t>Non</t>
  </si>
  <si>
    <t>Fin</t>
  </si>
  <si>
    <t>Générer Rapport</t>
  </si>
  <si>
    <t>Alarmes</t>
  </si>
  <si>
    <t>Antsanitia Resort</t>
  </si>
  <si>
    <t>Bambins Ambalavao 2</t>
  </si>
  <si>
    <t>Base 1 Martin Pecheur</t>
  </si>
  <si>
    <t>Base 3 Martin Pecheur Faux Cap</t>
  </si>
  <si>
    <t>BEL AVENIR MANGUILY FORET</t>
  </si>
  <si>
    <t>Blue Ventures - AMBANJA</t>
  </si>
  <si>
    <t>CHD Arivonimamo SOLAR 23</t>
  </si>
  <si>
    <t>Chez Senga (Nosy Be)</t>
  </si>
  <si>
    <t>CHU ANDROVA MAHAJANGA</t>
  </si>
  <si>
    <t>Chu mitsinjo Betanimena toliara</t>
  </si>
  <si>
    <t>CSB II AMBOHIMANGA DU SUD</t>
  </si>
  <si>
    <t>CUA Analakely SOLAR 23</t>
  </si>
  <si>
    <t>Eric PIGNON</t>
  </si>
  <si>
    <t>ERICRAZA BERAVY</t>
  </si>
  <si>
    <t>EVOLUTION ANOSIALA</t>
  </si>
  <si>
    <t>Hôtel Bella donna</t>
  </si>
  <si>
    <t>Hôtel Bella Donna - Piscine</t>
  </si>
  <si>
    <t>Hotel la Bella Donna - château</t>
  </si>
  <si>
    <t>Hôtel Robinsonnade Sainte Marie</t>
  </si>
  <si>
    <t>Hyppocampo Couplage AC-DC</t>
  </si>
  <si>
    <t>Ifaty Beach Club</t>
  </si>
  <si>
    <t>IOT ANKALOHA</t>
  </si>
  <si>
    <t>JAMALY QUINCALLERIE</t>
  </si>
  <si>
    <t>Jean Marque Sainte-Marie</t>
  </si>
  <si>
    <t>Jules Leclezio - Andavadoaka</t>
  </si>
  <si>
    <t>La Ligne Scandinave Andraharo</t>
  </si>
  <si>
    <t>Les Bambins Ambalavao</t>
  </si>
  <si>
    <t>Lisbeth et Pierre VILLA</t>
  </si>
  <si>
    <t>Mada Green Power Agence Tana</t>
  </si>
  <si>
    <t>Maison Mourtaza (Doany - Ankify)</t>
  </si>
  <si>
    <t>Marina Blue Restaurant</t>
  </si>
  <si>
    <t>Ocean Farmers Lithium</t>
  </si>
  <si>
    <t>Patrick Antoine - Ampefy</t>
  </si>
  <si>
    <t>RDT Tanjombato</t>
  </si>
  <si>
    <t>REGIS ANDRONONOBE</t>
  </si>
  <si>
    <t>Residence Khouzema Fidahoussen LOKARO</t>
  </si>
  <si>
    <t>Salary Bay Principal</t>
  </si>
  <si>
    <t>Sarimanok Residences</t>
  </si>
  <si>
    <t>STATION TOTAL KALIZY</t>
  </si>
  <si>
    <t>Villa Ile Radama</t>
  </si>
  <si>
    <t>Villa Nassir Madiorano</t>
  </si>
  <si>
    <t>Wild Mango House</t>
  </si>
  <si>
    <t>YLANG DIVING CENTER (Nosy Be)</t>
  </si>
  <si>
    <t>Nombres de panneaux</t>
  </si>
  <si>
    <t>Onduleurs</t>
  </si>
  <si>
    <t>Mise en service</t>
  </si>
  <si>
    <t>Puissance installée (kWc)</t>
  </si>
  <si>
    <t/>
  </si>
  <si>
    <t>SOS village d'Enfants Ambovombe</t>
  </si>
  <si>
    <t>Fronius AUST - Galvo Test</t>
  </si>
  <si>
    <t>Fronius Smart Meter System – Hawaii</t>
  </si>
  <si>
    <t>Fronius IT Bussolengo Headquarter</t>
  </si>
  <si>
    <t>Fronius UK Ltd - 4 kW Milton Keynes</t>
  </si>
  <si>
    <t>Fronius Fr Roissy</t>
  </si>
  <si>
    <t>Fronius PL Gliwice</t>
  </si>
  <si>
    <t>Fronius San Luis Obispo</t>
  </si>
  <si>
    <t>Fronius AT Energy Profiling</t>
  </si>
  <si>
    <t>Fronius Ohmpilot &amp; yield forecast</t>
  </si>
  <si>
    <t>Fronius AT LG storage solution with Ohmpilot</t>
  </si>
  <si>
    <t>Source</t>
  </si>
  <si>
    <t>API</t>
  </si>
  <si>
    <t>Copefrito</t>
  </si>
  <si>
    <t>Maurice</t>
  </si>
  <si>
    <t>Sarimanok</t>
  </si>
  <si>
    <t>Talinjoo</t>
  </si>
  <si>
    <t>csv</t>
  </si>
  <si>
    <t>Antana_Productions</t>
  </si>
  <si>
    <t>Antsanitia_PVAC</t>
  </si>
  <si>
    <t>BEWYS_47KVA</t>
  </si>
  <si>
    <t>Blue_Bay</t>
  </si>
  <si>
    <t>CHU_ANDROVA_MAHAJANGA</t>
  </si>
  <si>
    <t>CHU_MAHAVOKY_MAHAJANGA</t>
  </si>
  <si>
    <t>Chu_mitsinjo_Betanimena_toliar</t>
  </si>
  <si>
    <t>CHU_TAMATAVE</t>
  </si>
  <si>
    <t>CUA_Antananarivo</t>
  </si>
  <si>
    <t>EPSILON_CHAMP_01</t>
  </si>
  <si>
    <t>EPSILON_CHAMP_02</t>
  </si>
  <si>
    <t>Epsilon_site_2</t>
  </si>
  <si>
    <t>EVOLUTION_ANOSIALA</t>
  </si>
  <si>
    <t>Fondation_Ecole_de_Felix</t>
  </si>
  <si>
    <t>Hotel_Andriana</t>
  </si>
  <si>
    <t>Hyppocampo_-_Tuléar</t>
  </si>
  <si>
    <t>Hôtel_SAKAMANGA</t>
  </si>
  <si>
    <t>Hôtel_Serena</t>
  </si>
  <si>
    <t>Iot_ankaloha</t>
  </si>
  <si>
    <t>Le_Moringa_-_Tulear</t>
  </si>
  <si>
    <t>Lotissements_Nassir</t>
  </si>
  <si>
    <t>Maison_Nassir</t>
  </si>
  <si>
    <t>Martin_Pecheur_Fort_Dauphin</t>
  </si>
  <si>
    <t>MASSENA_GEN24_6</t>
  </si>
  <si>
    <t>MCB_MAJUNGA</t>
  </si>
  <si>
    <t>MCB_Nosy_Be</t>
  </si>
  <si>
    <t>MCB_Toliara_-_ancienne_installation</t>
  </si>
  <si>
    <t>MCB_TOLIARA_GEN24</t>
  </si>
  <si>
    <t>MHM_Ambovo</t>
  </si>
  <si>
    <t>Murex_-_administration</t>
  </si>
  <si>
    <t>Murex_-_Tulear</t>
  </si>
  <si>
    <t>Nathanael_GEN24_Primo_6</t>
  </si>
  <si>
    <t>Orphelinat_Nathanael</t>
  </si>
  <si>
    <t>Résidence_Salim</t>
  </si>
  <si>
    <t>SARIMANOK_RESIDENCE</t>
  </si>
  <si>
    <t>SHAMIR_SAMBATEX_SOANIERANA</t>
  </si>
  <si>
    <t>SOCOTA_-_PHASE_1</t>
  </si>
  <si>
    <t>SS_Galana_Nofy_Ankorondrano</t>
  </si>
  <si>
    <t>Station_Total_Afiafy</t>
  </si>
  <si>
    <t>Station_Total_Kalizy</t>
  </si>
  <si>
    <t>Tatie_Chris</t>
  </si>
  <si>
    <t>VILLA_LIBERTY_IVANDRY</t>
  </si>
  <si>
    <t>Villa_Razambe</t>
  </si>
  <si>
    <t>Wild_Mango_House</t>
  </si>
  <si>
    <t>Ylang_Diving</t>
  </si>
  <si>
    <t>Surface</t>
  </si>
  <si>
    <t>Efficacité</t>
  </si>
  <si>
    <t>1 Onduleur Fronius Symo</t>
  </si>
  <si>
    <t>3 Onduleurs Fronius (2x Symo 10, 1x Symo 20)</t>
  </si>
  <si>
    <t>Type PV</t>
  </si>
  <si>
    <t>MPPT</t>
  </si>
  <si>
    <t>Convertisseurs</t>
  </si>
  <si>
    <t>Batterie</t>
  </si>
  <si>
    <t>Capacité batterie</t>
  </si>
  <si>
    <t>2 x Victron MPPT 450/100 + 2 x Victron MPPT 450/200</t>
  </si>
  <si>
    <t>6 x Freedom Won Lite 60/48</t>
  </si>
  <si>
    <t>360 kWh</t>
  </si>
  <si>
    <t>1 x Victron MPPT 150/70</t>
  </si>
  <si>
    <t>2 x Victron MPPT 150/70</t>
  </si>
  <si>
    <t>1 x Victron MPPT 150/35</t>
  </si>
  <si>
    <t>2 x Victron MPPT 150/85</t>
  </si>
  <si>
    <t>1 x Victron MPPT 75/15</t>
  </si>
  <si>
    <t>1 x Victron MPPT 150/85</t>
  </si>
  <si>
    <t>2 x Victron MPPT 250/100</t>
  </si>
  <si>
    <t>2 x Victron MPPT 150/100</t>
  </si>
  <si>
    <t>1 x Victron MPPT 250/100</t>
  </si>
  <si>
    <t>1 x Victron MPPT 150/60</t>
  </si>
  <si>
    <t>3 x Victron MPPT 450/200</t>
  </si>
  <si>
    <t>1 x Victron MPPT 250/70 + 1 x Victron MPPT 150/35</t>
  </si>
  <si>
    <t>1 x Victron MPPT 250/70</t>
  </si>
  <si>
    <t>1 x Victron MPPT 450/200</t>
  </si>
  <si>
    <t>1 x Victron MPPT 150/85 + 1 x Victron MPPT 250/100</t>
  </si>
  <si>
    <t>545 Wc</t>
  </si>
  <si>
    <t>-</t>
  </si>
  <si>
    <t>380 Wc</t>
  </si>
  <si>
    <t>3 x Victron MPPT 250/100</t>
  </si>
  <si>
    <t>5 x Victron MPPT 450/100</t>
  </si>
  <si>
    <t>4 x Victron MPPT 250/100</t>
  </si>
  <si>
    <t>1 x Victron MPPT 150/35 + 1 x Victron MPPT 100/50</t>
  </si>
  <si>
    <t>1 x Victron MPPT 150/35 + 1 x Victron MPPT 100/35</t>
  </si>
  <si>
    <t>1 x Victron MPPT 150/100 + 1 x Victron MPPT 150/35</t>
  </si>
  <si>
    <t>2 x Victron MPPT 150/100 + 1 x Victron MPPT 150/85</t>
  </si>
  <si>
    <t>1 x Victron MPPT 150/100</t>
  </si>
  <si>
    <t>2 x Victron MPPT 450/200</t>
  </si>
  <si>
    <t>2 x Victron MPPT 150/35</t>
  </si>
  <si>
    <t>2 x Victron MPPT 450/100</t>
  </si>
  <si>
    <t>1 x Victron MPPT 150/85 + 1 x Victron MPPT 75/15</t>
  </si>
  <si>
    <t>1 x Victron MPPT 150/100 + 1 x Victron MPPT 150/70 + 1 x Victron MPPT 150/85</t>
  </si>
  <si>
    <t>3 x Victron MPPT 150/85</t>
  </si>
  <si>
    <t>6 x Victron MPPT 250/100</t>
  </si>
  <si>
    <t>1 x Victron MPPT 150/70 + 1 x Victron MPPT 150/100</t>
  </si>
  <si>
    <t>3 x Victron MPPT 150/100</t>
  </si>
  <si>
    <t>6 x Victron MPPT 150/85</t>
  </si>
  <si>
    <t>1 x Victron MPPT 450/100</t>
  </si>
  <si>
    <t>Andriana resort spa</t>
  </si>
  <si>
    <t>Chez natte</t>
  </si>
  <si>
    <t>Entrepôt PAM Bekily</t>
  </si>
  <si>
    <t>LA VIE EST BELLE NOSYBE</t>
  </si>
  <si>
    <t>MAISON SHAMIR</t>
  </si>
  <si>
    <t>MIRAY TRANS</t>
  </si>
  <si>
    <t>PAM FORT DAUPHIN</t>
  </si>
  <si>
    <t>PAM TSIHOMBE</t>
  </si>
  <si>
    <t>SOGEDIPROMA</t>
  </si>
  <si>
    <t>STAR SAMBAVA</t>
  </si>
  <si>
    <t>ACF AMPANIHY</t>
  </si>
  <si>
    <t>Hotel Domaine dAmbola</t>
  </si>
  <si>
    <t>20 kWh</t>
  </si>
  <si>
    <t>Mono 545W JA Solar</t>
  </si>
  <si>
    <t>1 x Lithium FreedomWon Etower 10kWh</t>
  </si>
  <si>
    <t>10 kWh</t>
  </si>
  <si>
    <t>1 x Lithium FreedomWon Etower 15kWh</t>
  </si>
  <si>
    <t>15 kWh</t>
  </si>
  <si>
    <t>Sunergy 325 Wc</t>
  </si>
  <si>
    <t>Mono 460W JA Solar</t>
  </si>
  <si>
    <t>30 kWh</t>
  </si>
  <si>
    <t>31,68 kWh</t>
  </si>
  <si>
    <t>Prix Jirama</t>
  </si>
  <si>
    <t>2 x Inverter RS Smart 48V/6000VA/80A</t>
  </si>
  <si>
    <t>3 x Victron Quattro 48/8000/110-2x100 rev2</t>
  </si>
  <si>
    <t>1 x Victron MultiPlus-II 48/5000/70-48</t>
  </si>
  <si>
    <t>3 x Fronius Eco 27.0-3-S</t>
  </si>
  <si>
    <t>3 x Victron MultiPlus-II 48/5000/70-48</t>
  </si>
  <si>
    <t>1 x Victron Quattro 48/8000/110-2x100 rev2</t>
  </si>
  <si>
    <t>1 x Victron MultiPlus Compact 24/1200/25-16</t>
  </si>
  <si>
    <t>3 x Victron Quattro 48/15000/200-2x100</t>
  </si>
  <si>
    <t>6 x Victron Quattro 48/15000/200-2x100</t>
  </si>
  <si>
    <t>2 x Victron MultiPlus-II 48/5000/70-48</t>
  </si>
  <si>
    <t>2 x Victron MultiPlus 48/5000/70-100</t>
  </si>
  <si>
    <t>1 x Victron MultiPlus Compact 24/2000/50-30</t>
  </si>
  <si>
    <t>1 x Victron MultiPlus-II 48/3000/35-32 (ACOut2 switchable)</t>
  </si>
  <si>
    <t>1 x Victron MultiPlus 48/5000/70-100</t>
  </si>
  <si>
    <t>1 x Victron MultiPlus 24/5000/120-100</t>
  </si>
  <si>
    <t>3 x Victron Quattro 48/10000/140-2x100</t>
  </si>
  <si>
    <t>1 x Victron Quattro 48/5000/70-2x100</t>
  </si>
  <si>
    <t>1 x Victron Quattro 48/10000/140-2x100</t>
  </si>
  <si>
    <t>1 x Victron MultiPlus-II 24/3000/70-32</t>
  </si>
  <si>
    <t>1 x Victron Quattro 24/8000/200-2x100</t>
  </si>
  <si>
    <t>3 x Victron MultiPlus 48/3000/35-16</t>
  </si>
  <si>
    <t>6 x Victron Quattro 48/10000/140-2x100</t>
  </si>
  <si>
    <t>2 x Victron Quattro 48/8000/110-2x100 rev2</t>
  </si>
  <si>
    <t>1 x Victron Quattro 48/15000/200-2x100</t>
  </si>
  <si>
    <t>3 x Victron MultiPlus 48/5000/70-100</t>
  </si>
  <si>
    <t>1 x Victron MultiPlus-II 48/8000/110-100</t>
  </si>
  <si>
    <t>1 x Victron MultiPlus 24/3000/70-50</t>
  </si>
  <si>
    <t>3 x Victron MultiPlus-II 48/3000/35-32 (ACOut2 switchable)</t>
  </si>
  <si>
    <t>2 x Victron Quattro 48/15000/200-2x100</t>
  </si>
  <si>
    <t>1 x Victron MultiPlus 24/1600/40-16</t>
  </si>
  <si>
    <t>3 x Victron MultiPlus-II 48/8000/110-100</t>
  </si>
  <si>
    <t>1 x Victron MultiPlus 48/3000/35-16</t>
  </si>
  <si>
    <t>2 x Fronius Symo 20.0-3-M</t>
  </si>
  <si>
    <t>1 x Fronius Symo 10.0-3-M</t>
  </si>
  <si>
    <t>1 x Fronius Eco 27.0-3-S</t>
  </si>
  <si>
    <t>1 x Victron MPPT RS 450/200</t>
  </si>
  <si>
    <t>1 x Fronius Primo 8.2-1</t>
  </si>
  <si>
    <t>3 x Victron MPPT 150/35</t>
  </si>
  <si>
    <t>1 x Phoenix Inverter 48V 1200VA 230V</t>
  </si>
  <si>
    <t>1 x Phoenix Inverter 24V 1200VA 230V</t>
  </si>
  <si>
    <t>1 x Fronius Symo 15.0-3-M</t>
  </si>
  <si>
    <t>1 x Fronius Symo 20.0-3-M</t>
  </si>
  <si>
    <t>2 x Victron MPPT 250/100 + 1 x Victron MPPT 150/35</t>
  </si>
  <si>
    <t>Période</t>
  </si>
  <si>
    <t>1 x Lithium FreedomWon Etower 5kWh</t>
  </si>
  <si>
    <t>5 kWh</t>
  </si>
  <si>
    <t>Poly Sunergy 370 Wc</t>
  </si>
  <si>
    <t>24 x OPZV 2 750 Hoppecke</t>
  </si>
  <si>
    <t>36 kWh</t>
  </si>
  <si>
    <t>Latitude</t>
  </si>
  <si>
    <t>Longitude</t>
  </si>
  <si>
    <t>Technologie PV</t>
  </si>
  <si>
    <t>Pertes</t>
  </si>
  <si>
    <t>Type Montage</t>
  </si>
  <si>
    <t>Angle</t>
  </si>
  <si>
    <t>Année début SARAH</t>
  </si>
  <si>
    <t>Année fin SARAH</t>
  </si>
  <si>
    <t>Azimut</t>
  </si>
  <si>
    <t>crystSi</t>
  </si>
  <si>
    <t>-18.912</t>
  </si>
  <si>
    <t>47.527</t>
  </si>
  <si>
    <t>free</t>
  </si>
  <si>
    <t>building</t>
  </si>
  <si>
    <t>SPSM - DATA MANAGER</t>
  </si>
  <si>
    <t>PNUD Soamanitra</t>
  </si>
  <si>
    <t>GES - LFL - Andakana</t>
  </si>
  <si>
    <t>SPSM</t>
  </si>
  <si>
    <t>46.696</t>
  </si>
  <si>
    <t>-21.190</t>
  </si>
  <si>
    <t>-25.413</t>
  </si>
  <si>
    <t>44.961</t>
  </si>
  <si>
    <t>-15.698</t>
  </si>
  <si>
    <t>46.340</t>
  </si>
  <si>
    <t>-18.916</t>
  </si>
  <si>
    <t>47.534</t>
  </si>
  <si>
    <t>-18.838</t>
  </si>
  <si>
    <t>47.434</t>
  </si>
  <si>
    <t>-25.039</t>
  </si>
  <si>
    <t>46.388</t>
  </si>
  <si>
    <t>-25.177</t>
  </si>
  <si>
    <t>46.088</t>
  </si>
  <si>
    <t>-24.207</t>
  </si>
  <si>
    <t>45.865</t>
  </si>
  <si>
    <t>-24.229</t>
  </si>
  <si>
    <t>45.311</t>
  </si>
  <si>
    <t>-25.022</t>
  </si>
  <si>
    <t>46.982</t>
  </si>
  <si>
    <t>-25.316</t>
  </si>
  <si>
    <t>45.486</t>
  </si>
  <si>
    <t>3 mois</t>
  </si>
  <si>
    <t>-15.568</t>
  </si>
  <si>
    <t>46.422</t>
  </si>
  <si>
    <t>-19.884</t>
  </si>
  <si>
    <t>47.042</t>
  </si>
  <si>
    <t>Irradiance</t>
  </si>
  <si>
    <t>Antana Production</t>
  </si>
  <si>
    <t>EPSILON</t>
  </si>
  <si>
    <t>Epsilon - site 2</t>
  </si>
  <si>
    <t>7 x ECO 27.0-3-S</t>
  </si>
  <si>
    <t>JA Solar 455Wp</t>
  </si>
  <si>
    <t>10 x ECO 27.0-3-S</t>
  </si>
  <si>
    <t>10 x ECO 25.0-3-S + 7 x ECO 27.0-3-S</t>
  </si>
  <si>
    <t>912 x Astronergy 330Wp + 440 x JA Solar 455Wp</t>
  </si>
  <si>
    <t>-18.833</t>
  </si>
  <si>
    <t>47.455</t>
  </si>
  <si>
    <t>47.457</t>
  </si>
  <si>
    <t>13 x ECO 27.0-3-S</t>
  </si>
  <si>
    <t>-19.885</t>
  </si>
  <si>
    <t>SOCOTA - PHASE 1</t>
  </si>
  <si>
    <t>Freedomwon Battery</t>
  </si>
  <si>
    <t>3 x Victron MPPT 250/70</t>
  </si>
  <si>
    <t>7 x ECO 27</t>
  </si>
  <si>
    <t>SOGEA SATOM</t>
  </si>
  <si>
    <t>1x Fronius Symo 20.0-3-M</t>
  </si>
  <si>
    <t>3 x SmartSolar MPPT RS 450/200</t>
  </si>
  <si>
    <t>56 x JAM72S30 - 540/MR</t>
  </si>
  <si>
    <t>1 x Freedomwon Lite Home 30/24</t>
  </si>
  <si>
    <t>2 x SmartSolar MPPT RS 450/100</t>
  </si>
  <si>
    <t>2 x SmartSolar MPPT VE.Can 250/100 rev2</t>
  </si>
  <si>
    <t>3 x SmartSolar MPPT VE.Can 250/100 rev2</t>
  </si>
  <si>
    <t>1 x Victron Quattro 48/8000/110-2x100</t>
  </si>
  <si>
    <t>3 x  Victron Quattro 48V/10KVA</t>
  </si>
  <si>
    <t>1x Quattro 48/10000/140-2x100</t>
  </si>
  <si>
    <t>-18.898</t>
  </si>
  <si>
    <t>47.519</t>
  </si>
  <si>
    <t>-23.355</t>
  </si>
  <si>
    <t>43.668</t>
  </si>
  <si>
    <t>-18.83193</t>
  </si>
  <si>
    <t>47.45328</t>
  </si>
  <si>
    <t>-24.22056</t>
  </si>
  <si>
    <t>45.31956</t>
  </si>
  <si>
    <t>CHD Betafo</t>
  </si>
  <si>
    <t>3x Victron Quattro 48/8000/110-2x100 rev2</t>
  </si>
  <si>
    <t>-19.83308</t>
  </si>
  <si>
    <t>46.85003</t>
  </si>
  <si>
    <t>1x Fronius Symo 15.0-3-M</t>
  </si>
  <si>
    <t>FREEDOM LITE</t>
  </si>
  <si>
    <t>VILLA LIBERTY</t>
  </si>
  <si>
    <t>BFV-SG Toliara</t>
  </si>
  <si>
    <t>PAM Anafondravoay Ambovombe</t>
  </si>
  <si>
    <t>1xFronius Symo 10.0-3-M</t>
  </si>
  <si>
    <t>3xQuattro 48/10000/140-2x100</t>
  </si>
  <si>
    <t>Actual Textile</t>
  </si>
  <si>
    <t>Menakao</t>
  </si>
  <si>
    <t>5 x ECO 27.0-3-S</t>
  </si>
  <si>
    <t>JA Solar JAM72S30 545/MR</t>
  </si>
  <si>
    <t>-18.84055</t>
  </si>
  <si>
    <t>47.54129</t>
  </si>
  <si>
    <t>3x ECO 27.0-3-S</t>
  </si>
  <si>
    <t>JA Solar JAM72S30 540/MR</t>
  </si>
  <si>
    <t>-18.81717</t>
  </si>
  <si>
    <t>47.44961</t>
  </si>
  <si>
    <t>CSB II  NAMONTANA SOLAIRE 23</t>
  </si>
  <si>
    <t>1 mois</t>
  </si>
  <si>
    <t>JA78S10 455/MR</t>
  </si>
  <si>
    <t>2x e-Tower Battery</t>
  </si>
  <si>
    <t>2x 5kW</t>
  </si>
  <si>
    <t>46.586</t>
  </si>
  <si>
    <t>-18.35</t>
  </si>
  <si>
    <t>2 Batterie E-tower 5KW</t>
  </si>
  <si>
    <t>12xSunergy455 W</t>
  </si>
  <si>
    <t xml:space="preserve">-24.362772577296216 </t>
  </si>
  <si>
    <t>45.94392894782319</t>
  </si>
  <si>
    <t>-18.913992813254783</t>
  </si>
  <si>
    <t xml:space="preserve"> 47.537303551733366</t>
  </si>
  <si>
    <t xml:space="preserve">       </t>
  </si>
  <si>
    <t xml:space="preserve">        </t>
  </si>
  <si>
    <t>Sunergy470W</t>
  </si>
  <si>
    <t>3 xFreedom Lite 10/8 kWh</t>
  </si>
  <si>
    <t>JA solar270W</t>
  </si>
  <si>
    <t>4 x E-tower 100Ah</t>
  </si>
  <si>
    <t>PV Sunergy 460W</t>
  </si>
  <si>
    <t>1 x Freedom Lite 30/24 kWh</t>
  </si>
  <si>
    <t>24 kWh</t>
  </si>
  <si>
    <t>JB_AMBODITSIRY</t>
  </si>
  <si>
    <t>CHOCOLATERIE_ROBERT</t>
  </si>
  <si>
    <t>SMA-STP 110-60 CORE2</t>
  </si>
  <si>
    <t>JA Solar - JAM72S30- 565/LR/1500V</t>
  </si>
  <si>
    <t>-18.887153572836965</t>
  </si>
  <si>
    <t>47.53879071022211</t>
  </si>
  <si>
    <t>SMA-STP 110-60 CORE3</t>
  </si>
  <si>
    <t>Ja Solar JAM72S30 (5540/MR, 565/LR)</t>
  </si>
  <si>
    <t>-18.898997029023054</t>
  </si>
  <si>
    <t>47.52095832371754</t>
  </si>
  <si>
    <t>SAVONERIE_TROPICALE</t>
  </si>
  <si>
    <t>1 x Fronius ECO 27.0-3-S</t>
  </si>
  <si>
    <t>Ja Solar 565Wc</t>
  </si>
  <si>
    <t>-18.89905793174406</t>
  </si>
  <si>
    <t>47.521011967892306</t>
  </si>
  <si>
    <t>Sunergy 450 Wc</t>
  </si>
  <si>
    <t>4 Modules PV 300W</t>
  </si>
  <si>
    <t>1 Fronius SYMO 20KVA</t>
  </si>
  <si>
    <t xml:space="preserve">2 x Batteries Freedom Lite </t>
  </si>
  <si>
    <t>30/24 kWh</t>
  </si>
  <si>
    <t xml:space="preserve">    </t>
  </si>
  <si>
    <t>-18.940772999</t>
  </si>
  <si>
    <t>47.5226934752</t>
  </si>
  <si>
    <t>-18.860546</t>
  </si>
  <si>
    <t>47.546331</t>
  </si>
  <si>
    <t>Création de rapport</t>
  </si>
  <si>
    <t>Sélectionner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</si>
</sst>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6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17" fontId="0" fillId="0" borderId="0" xfId="0" applyNumberFormat="1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0" fontId="0" fillId="3" borderId="0" xfId="0" applyFill="1"/>
    <xf numFmtId="17" fontId="0" fillId="3" borderId="0" xfId="0" applyNumberFormat="1" applyFill="1"/>
    <xf numFmtId="14" fontId="0" fillId="2" borderId="0" xfId="0" applyNumberFormat="1" applyFill="1"/>
    <xf numFmtId="0" fontId="1" fillId="3" borderId="0" xfId="0" applyFont="1" applyFill="1"/>
    <xf numFmtId="17" fontId="1" fillId="3" borderId="0" xfId="0" applyNumberFormat="1" applyFont="1" applyFill="1"/>
    <xf numFmtId="14" fontId="1" fillId="3" borderId="0" xfId="0" applyNumberFormat="1" applyFont="1" applyFill="1"/>
    <xf numFmtId="2" fontId="1" fillId="3" borderId="0" xfId="0" applyNumberFormat="1" applyFont="1" applyFill="1"/>
    <xf numFmtId="164" fontId="0" fillId="2" borderId="0" xfId="0" applyNumberFormat="1" applyFill="1"/>
    <xf numFmtId="0" fontId="0" fillId="3" borderId="0" xfId="0" quotePrefix="1" applyFill="1"/>
    <xf numFmtId="0" fontId="1" fillId="2" borderId="0" xfId="0" applyFont="1" applyFill="1"/>
    <xf numFmtId="0" fontId="0" fillId="4" borderId="0" xfId="0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17" fontId="0" fillId="3" borderId="0" xfId="0" applyNumberFormat="1" applyFill="1" applyAlignment="1">
      <alignment vertical="center"/>
    </xf>
    <xf numFmtId="49" fontId="0" fillId="2" borderId="0" xfId="0" applyNumberFormat="1" applyFill="1" applyAlignment="1">
      <alignment vertical="center"/>
    </xf>
    <xf numFmtId="164" fontId="0" fillId="5" borderId="0" xfId="0" applyNumberFormat="1" applyFill="1"/>
    <xf numFmtId="0" fontId="0" fillId="4" borderId="0" xfId="0" applyFill="1" applyAlignment="1">
      <alignment vertical="center"/>
    </xf>
    <xf numFmtId="0" fontId="5" fillId="6" borderId="0" xfId="1" applyBorder="1"/>
    <xf numFmtId="0" fontId="4" fillId="6" borderId="0" xfId="1" applyFont="1" applyBorder="1"/>
    <xf numFmtId="0" fontId="3" fillId="3" borderId="0" xfId="0" applyFont="1" applyFill="1"/>
    <xf numFmtId="0" fontId="5" fillId="6" borderId="0" xfId="1" applyBorder="1" applyAlignment="1">
      <alignment horizontal="center"/>
    </xf>
    <xf numFmtId="0" fontId="6" fillId="6" borderId="0" xfId="1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114</xdr:row>
      <xdr:rowOff>0</xdr:rowOff>
    </xdr:from>
    <xdr:to>
      <xdr:col>0</xdr:col>
      <xdr:colOff>191193</xdr:colOff>
      <xdr:row>115</xdr:row>
      <xdr:rowOff>8314</xdr:rowOff>
    </xdr:to>
    <xdr:sp macro="" textlink="">
      <xdr:nvSpPr>
        <xdr:cNvPr id="2" name="AutoShape 45" descr="https://www.solarweb.com/Content/images/icons/cancel_circle_grey.svg">
          <a:extLst>
            <a:ext uri="{FF2B5EF4-FFF2-40B4-BE49-F238E27FC236}">
              <a16:creationId xmlns:a16="http://schemas.microsoft.com/office/drawing/2014/main" id="{F57B4074-49C2-46BA-A128-F29384C8B343}"/>
            </a:ext>
          </a:extLst>
        </xdr:cNvPr>
        <xdr:cNvSpPr>
          <a:spLocks noChangeAspect="1" noChangeArrowheads="1"/>
        </xdr:cNvSpPr>
      </xdr:nvSpPr>
      <xdr:spPr bwMode="auto">
        <a:xfrm>
          <a:off x="0" y="10668000"/>
          <a:ext cx="191193" cy="198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191193</xdr:colOff>
      <xdr:row>116</xdr:row>
      <xdr:rowOff>8312</xdr:rowOff>
    </xdr:to>
    <xdr:sp macro="" textlink="">
      <xdr:nvSpPr>
        <xdr:cNvPr id="3" name="AutoShape 46" descr="https://www.solarweb.com/Content/images/icons/check_circle_blue.svg">
          <a:extLst>
            <a:ext uri="{FF2B5EF4-FFF2-40B4-BE49-F238E27FC236}">
              <a16:creationId xmlns:a16="http://schemas.microsoft.com/office/drawing/2014/main" id="{8CBB8DDD-2513-4AE3-AB04-B3020F4D8703}"/>
            </a:ext>
          </a:extLst>
        </xdr:cNvPr>
        <xdr:cNvSpPr>
          <a:spLocks noChangeAspect="1" noChangeArrowheads="1"/>
        </xdr:cNvSpPr>
      </xdr:nvSpPr>
      <xdr:spPr bwMode="auto">
        <a:xfrm>
          <a:off x="0" y="10858500"/>
          <a:ext cx="191193" cy="198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685800</xdr:colOff>
          <xdr:row>9</xdr:row>
          <xdr:rowOff>66675</xdr:rowOff>
        </xdr:from>
        <xdr:to>
          <xdr:col>29</xdr:col>
          <xdr:colOff>409575</xdr:colOff>
          <xdr:row>10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0</xdr:col>
      <xdr:colOff>191193</xdr:colOff>
      <xdr:row>13</xdr:row>
      <xdr:rowOff>8315</xdr:rowOff>
    </xdr:to>
    <xdr:sp macro="" textlink="">
      <xdr:nvSpPr>
        <xdr:cNvPr id="2" name="AutoShape 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50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191193</xdr:colOff>
      <xdr:row>14</xdr:row>
      <xdr:rowOff>8312</xdr:rowOff>
    </xdr:to>
    <xdr:sp macro="" textlink="">
      <xdr:nvSpPr>
        <xdr:cNvPr id="3" name="AutoShape 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9901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191193</xdr:colOff>
      <xdr:row>15</xdr:row>
      <xdr:rowOff>8313</xdr:rowOff>
    </xdr:to>
    <xdr:sp macro="" textlink="">
      <xdr:nvSpPr>
        <xdr:cNvPr id="4" name="AutoShape 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51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191193</xdr:colOff>
      <xdr:row>16</xdr:row>
      <xdr:rowOff>8312</xdr:rowOff>
    </xdr:to>
    <xdr:sp macro="" textlink="">
      <xdr:nvSpPr>
        <xdr:cNvPr id="5" name="AutoShape 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9802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191193</xdr:colOff>
      <xdr:row>17</xdr:row>
      <xdr:rowOff>8314</xdr:rowOff>
    </xdr:to>
    <xdr:sp macro="" textlink="">
      <xdr:nvSpPr>
        <xdr:cNvPr id="6" name="AutoShape 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9752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191193</xdr:colOff>
      <xdr:row>18</xdr:row>
      <xdr:rowOff>8313</xdr:rowOff>
    </xdr:to>
    <xdr:sp macro="" textlink="">
      <xdr:nvSpPr>
        <xdr:cNvPr id="7" name="AutoShape 6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703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191193</xdr:colOff>
      <xdr:row>19</xdr:row>
      <xdr:rowOff>8312</xdr:rowOff>
    </xdr:to>
    <xdr:sp macro="" textlink="">
      <xdr:nvSpPr>
        <xdr:cNvPr id="8" name="AutoShape 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9653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191193</xdr:colOff>
      <xdr:row>20</xdr:row>
      <xdr:rowOff>8313</xdr:rowOff>
    </xdr:to>
    <xdr:sp macro="" textlink="">
      <xdr:nvSpPr>
        <xdr:cNvPr id="9" name="AutoShape 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9604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191193</xdr:colOff>
      <xdr:row>21</xdr:row>
      <xdr:rowOff>8314</xdr:rowOff>
    </xdr:to>
    <xdr:sp macro="" textlink="">
      <xdr:nvSpPr>
        <xdr:cNvPr id="10" name="AutoShape 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9554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191193</xdr:colOff>
      <xdr:row>22</xdr:row>
      <xdr:rowOff>8313</xdr:rowOff>
    </xdr:to>
    <xdr:sp macro="" textlink="">
      <xdr:nvSpPr>
        <xdr:cNvPr id="11" name="AutoShape 1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505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191193</xdr:colOff>
      <xdr:row>23</xdr:row>
      <xdr:rowOff>8312</xdr:rowOff>
    </xdr:to>
    <xdr:sp macro="" textlink="">
      <xdr:nvSpPr>
        <xdr:cNvPr id="12" name="AutoShape 1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191193</xdr:colOff>
      <xdr:row>24</xdr:row>
      <xdr:rowOff>8315</xdr:rowOff>
    </xdr:to>
    <xdr:sp macro="" textlink="">
      <xdr:nvSpPr>
        <xdr:cNvPr id="13" name="AutoShape 1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9406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191193</xdr:colOff>
      <xdr:row>25</xdr:row>
      <xdr:rowOff>8312</xdr:rowOff>
    </xdr:to>
    <xdr:sp macro="" textlink="">
      <xdr:nvSpPr>
        <xdr:cNvPr id="14" name="AutoShape 1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9357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191193</xdr:colOff>
      <xdr:row>26</xdr:row>
      <xdr:rowOff>8313</xdr:rowOff>
    </xdr:to>
    <xdr:sp macro="" textlink="">
      <xdr:nvSpPr>
        <xdr:cNvPr id="15" name="AutoShape 1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9307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191193</xdr:colOff>
      <xdr:row>27</xdr:row>
      <xdr:rowOff>8312</xdr:rowOff>
    </xdr:to>
    <xdr:sp macro="" textlink="">
      <xdr:nvSpPr>
        <xdr:cNvPr id="16" name="AutoShape 15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9258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191193</xdr:colOff>
      <xdr:row>28</xdr:row>
      <xdr:rowOff>8314</xdr:rowOff>
    </xdr:to>
    <xdr:sp macro="" textlink="">
      <xdr:nvSpPr>
        <xdr:cNvPr id="17" name="AutoShape 1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19208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191193</xdr:colOff>
      <xdr:row>29</xdr:row>
      <xdr:rowOff>8313</xdr:rowOff>
    </xdr:to>
    <xdr:sp macro="" textlink="">
      <xdr:nvSpPr>
        <xdr:cNvPr id="18" name="AutoShape 17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39159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191193</xdr:colOff>
      <xdr:row>30</xdr:row>
      <xdr:rowOff>17837</xdr:rowOff>
    </xdr:to>
    <xdr:sp macro="" textlink="">
      <xdr:nvSpPr>
        <xdr:cNvPr id="19" name="AutoShape 18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59109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191193</xdr:colOff>
      <xdr:row>31</xdr:row>
      <xdr:rowOff>8313</xdr:rowOff>
    </xdr:to>
    <xdr:sp macro="" textlink="">
      <xdr:nvSpPr>
        <xdr:cNvPr id="20" name="AutoShape 19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79060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191193</xdr:colOff>
      <xdr:row>32</xdr:row>
      <xdr:rowOff>8314</xdr:rowOff>
    </xdr:to>
    <xdr:sp macro="" textlink="">
      <xdr:nvSpPr>
        <xdr:cNvPr id="21" name="AutoShape 2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99010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191193</xdr:colOff>
      <xdr:row>33</xdr:row>
      <xdr:rowOff>8313</xdr:rowOff>
    </xdr:to>
    <xdr:sp macro="" textlink="">
      <xdr:nvSpPr>
        <xdr:cNvPr id="22" name="AutoShape 2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18961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191193</xdr:colOff>
      <xdr:row>34</xdr:row>
      <xdr:rowOff>8312</xdr:rowOff>
    </xdr:to>
    <xdr:sp macro="" textlink="">
      <xdr:nvSpPr>
        <xdr:cNvPr id="23" name="AutoShape 2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191193</xdr:colOff>
      <xdr:row>35</xdr:row>
      <xdr:rowOff>8315</xdr:rowOff>
    </xdr:to>
    <xdr:sp macro="" textlink="">
      <xdr:nvSpPr>
        <xdr:cNvPr id="24" name="AutoShape 2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58862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191193</xdr:colOff>
      <xdr:row>36</xdr:row>
      <xdr:rowOff>8312</xdr:rowOff>
    </xdr:to>
    <xdr:sp macro="" textlink="">
      <xdr:nvSpPr>
        <xdr:cNvPr id="25" name="AutoShape 24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78813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191193</xdr:colOff>
      <xdr:row>37</xdr:row>
      <xdr:rowOff>8313</xdr:rowOff>
    </xdr:to>
    <xdr:sp macro="" textlink="">
      <xdr:nvSpPr>
        <xdr:cNvPr id="26" name="AutoShape 25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98763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191193</xdr:colOff>
      <xdr:row>38</xdr:row>
      <xdr:rowOff>8312</xdr:rowOff>
    </xdr:to>
    <xdr:sp macro="" textlink="">
      <xdr:nvSpPr>
        <xdr:cNvPr id="27" name="AutoShape 2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18714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191193</xdr:colOff>
      <xdr:row>39</xdr:row>
      <xdr:rowOff>8314</xdr:rowOff>
    </xdr:to>
    <xdr:sp macro="" textlink="">
      <xdr:nvSpPr>
        <xdr:cNvPr id="28" name="AutoShape 2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38664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191193</xdr:colOff>
      <xdr:row>40</xdr:row>
      <xdr:rowOff>8313</xdr:rowOff>
    </xdr:to>
    <xdr:sp macro="" textlink="">
      <xdr:nvSpPr>
        <xdr:cNvPr id="29" name="AutoShape 28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58615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191193</xdr:colOff>
      <xdr:row>41</xdr:row>
      <xdr:rowOff>8312</xdr:rowOff>
    </xdr:to>
    <xdr:sp macro="" textlink="">
      <xdr:nvSpPr>
        <xdr:cNvPr id="30" name="AutoShape 2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78565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191193</xdr:colOff>
      <xdr:row>42</xdr:row>
      <xdr:rowOff>8313</xdr:rowOff>
    </xdr:to>
    <xdr:sp macro="" textlink="">
      <xdr:nvSpPr>
        <xdr:cNvPr id="31" name="AutoShape 3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516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191193</xdr:colOff>
      <xdr:row>43</xdr:row>
      <xdr:rowOff>8314</xdr:rowOff>
    </xdr:to>
    <xdr:sp macro="" textlink="">
      <xdr:nvSpPr>
        <xdr:cNvPr id="32" name="AutoShape 3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18466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191193</xdr:colOff>
      <xdr:row>44</xdr:row>
      <xdr:rowOff>8313</xdr:rowOff>
    </xdr:to>
    <xdr:sp macro="" textlink="">
      <xdr:nvSpPr>
        <xdr:cNvPr id="33" name="AutoShape 3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38417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191193</xdr:colOff>
      <xdr:row>45</xdr:row>
      <xdr:rowOff>8312</xdr:rowOff>
    </xdr:to>
    <xdr:sp macro="" textlink="">
      <xdr:nvSpPr>
        <xdr:cNvPr id="34" name="AutoShape 33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191193</xdr:colOff>
      <xdr:row>46</xdr:row>
      <xdr:rowOff>8315</xdr:rowOff>
    </xdr:to>
    <xdr:sp macro="" textlink="">
      <xdr:nvSpPr>
        <xdr:cNvPr id="35" name="AutoShape 3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78318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191193</xdr:colOff>
      <xdr:row>47</xdr:row>
      <xdr:rowOff>8312</xdr:rowOff>
    </xdr:to>
    <xdr:sp macro="" textlink="">
      <xdr:nvSpPr>
        <xdr:cNvPr id="36" name="AutoShape 3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98269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191193</xdr:colOff>
      <xdr:row>48</xdr:row>
      <xdr:rowOff>8313</xdr:rowOff>
    </xdr:to>
    <xdr:sp macro="" textlink="">
      <xdr:nvSpPr>
        <xdr:cNvPr id="37" name="AutoShape 36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18219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191193</xdr:colOff>
      <xdr:row>49</xdr:row>
      <xdr:rowOff>8312</xdr:rowOff>
    </xdr:to>
    <xdr:sp macro="" textlink="">
      <xdr:nvSpPr>
        <xdr:cNvPr id="38" name="AutoShape 37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38170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191193</xdr:colOff>
      <xdr:row>50</xdr:row>
      <xdr:rowOff>8314</xdr:rowOff>
    </xdr:to>
    <xdr:sp macro="" textlink="">
      <xdr:nvSpPr>
        <xdr:cNvPr id="39" name="AutoShape 3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58120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191193</xdr:colOff>
      <xdr:row>51</xdr:row>
      <xdr:rowOff>8313</xdr:rowOff>
    </xdr:to>
    <xdr:sp macro="" textlink="">
      <xdr:nvSpPr>
        <xdr:cNvPr id="40" name="AutoShape 3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78071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191193</xdr:colOff>
      <xdr:row>52</xdr:row>
      <xdr:rowOff>8312</xdr:rowOff>
    </xdr:to>
    <xdr:sp macro="" textlink="">
      <xdr:nvSpPr>
        <xdr:cNvPr id="41" name="AutoShape 4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98021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191193</xdr:colOff>
      <xdr:row>53</xdr:row>
      <xdr:rowOff>8313</xdr:rowOff>
    </xdr:to>
    <xdr:sp macro="" textlink="">
      <xdr:nvSpPr>
        <xdr:cNvPr id="42" name="AutoShape 4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7972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191193</xdr:colOff>
      <xdr:row>54</xdr:row>
      <xdr:rowOff>8314</xdr:rowOff>
    </xdr:to>
    <xdr:sp macro="" textlink="">
      <xdr:nvSpPr>
        <xdr:cNvPr id="43" name="AutoShape 4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7922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191193</xdr:colOff>
      <xdr:row>55</xdr:row>
      <xdr:rowOff>8313</xdr:rowOff>
    </xdr:to>
    <xdr:sp macro="" textlink="">
      <xdr:nvSpPr>
        <xdr:cNvPr id="44" name="AutoShape 43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7873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191193</xdr:colOff>
      <xdr:row>56</xdr:row>
      <xdr:rowOff>8312</xdr:rowOff>
    </xdr:to>
    <xdr:sp macro="" textlink="">
      <xdr:nvSpPr>
        <xdr:cNvPr id="45" name="AutoShape 44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191193</xdr:colOff>
      <xdr:row>57</xdr:row>
      <xdr:rowOff>8315</xdr:rowOff>
    </xdr:to>
    <xdr:sp macro="" textlink="">
      <xdr:nvSpPr>
        <xdr:cNvPr id="46" name="AutoShape 4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7774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191193</xdr:colOff>
      <xdr:row>58</xdr:row>
      <xdr:rowOff>8312</xdr:rowOff>
    </xdr:to>
    <xdr:sp macro="" textlink="">
      <xdr:nvSpPr>
        <xdr:cNvPr id="47" name="AutoShape 4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7725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191193</xdr:colOff>
      <xdr:row>59</xdr:row>
      <xdr:rowOff>8313</xdr:rowOff>
    </xdr:to>
    <xdr:sp macro="" textlink="">
      <xdr:nvSpPr>
        <xdr:cNvPr id="48" name="AutoShape 4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7675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191193</xdr:colOff>
      <xdr:row>60</xdr:row>
      <xdr:rowOff>8312</xdr:rowOff>
    </xdr:to>
    <xdr:sp macro="" textlink="">
      <xdr:nvSpPr>
        <xdr:cNvPr id="49" name="AutoShape 4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57626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191193</xdr:colOff>
      <xdr:row>61</xdr:row>
      <xdr:rowOff>8314</xdr:rowOff>
    </xdr:to>
    <xdr:sp macro="" textlink="">
      <xdr:nvSpPr>
        <xdr:cNvPr id="50" name="AutoShape 49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77576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571500</xdr:colOff>
          <xdr:row>5</xdr:row>
          <xdr:rowOff>66675</xdr:rowOff>
        </xdr:from>
        <xdr:to>
          <xdr:col>29</xdr:col>
          <xdr:colOff>295275</xdr:colOff>
          <xdr:row>6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LE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20"/>
  <sheetViews>
    <sheetView tabSelected="1" zoomScaleNormal="100" workbookViewId="0">
      <pane xSplit="2" topLeftCell="P1" activePane="topRight" state="frozen"/>
      <selection pane="topRight" activeCell="AD9" sqref="AD9:AE9"/>
    </sheetView>
  </sheetViews>
  <sheetFormatPr baseColWidth="10" defaultColWidth="9.140625" defaultRowHeight="15" x14ac:dyDescent="0.25"/>
  <cols>
    <col min="1" max="1" width="34.5703125" bestFit="1" customWidth="1"/>
    <col min="2" max="2" width="28.85546875" customWidth="1"/>
    <col min="3" max="3" width="9.28515625" bestFit="1" customWidth="1"/>
    <col min="4" max="4" width="9.28515625" customWidth="1"/>
    <col min="5" max="5" width="12.85546875" customWidth="1"/>
    <col min="6" max="7" width="11.7109375" style="3" bestFit="1" customWidth="1"/>
    <col min="8" max="8" width="13.5703125" customWidth="1"/>
    <col min="9" max="9" width="15.42578125" customWidth="1"/>
    <col min="10" max="10" width="9.5703125" customWidth="1"/>
    <col min="11" max="11" width="14.85546875" style="4" bestFit="1" customWidth="1"/>
    <col min="12" max="12" width="4.85546875" customWidth="1"/>
    <col min="13" max="13" width="10.28515625" customWidth="1"/>
    <col min="14" max="14" width="29.140625" customWidth="1"/>
    <col min="15" max="15" width="19.5703125" customWidth="1"/>
    <col min="16" max="16" width="11.28515625" customWidth="1"/>
    <col min="17" max="17" width="16.140625" bestFit="1" customWidth="1"/>
    <col min="18" max="18" width="11.28515625" bestFit="1" customWidth="1"/>
    <col min="19" max="19" width="7.28515625" style="5" bestFit="1" customWidth="1"/>
    <col min="20" max="20" width="10.7109375" style="5" customWidth="1"/>
    <col min="21" max="21" width="12.7109375" bestFit="1" customWidth="1"/>
    <col min="22" max="22" width="5.85546875" bestFit="1" customWidth="1"/>
    <col min="23" max="23" width="12.140625" bestFit="1" customWidth="1"/>
    <col min="24" max="24" width="5.28515625" bestFit="1" customWidth="1"/>
    <col min="25" max="25" width="7.5703125" bestFit="1" customWidth="1"/>
    <col min="26" max="26" width="16.7109375" bestFit="1" customWidth="1"/>
    <col min="27" max="27" width="13.7109375" bestFit="1" customWidth="1"/>
    <col min="29" max="29" width="22.7109375" customWidth="1"/>
  </cols>
  <sheetData>
    <row r="1" spans="1:31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3" t="s">
        <v>1</v>
      </c>
      <c r="G1" s="3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246</v>
      </c>
      <c r="S1" s="5" t="s">
        <v>296</v>
      </c>
      <c r="T1" s="5" t="s">
        <v>297</v>
      </c>
      <c r="U1" t="s">
        <v>298</v>
      </c>
      <c r="V1" t="s">
        <v>299</v>
      </c>
      <c r="W1" t="s">
        <v>300</v>
      </c>
      <c r="X1" t="s">
        <v>301</v>
      </c>
      <c r="Y1" t="s">
        <v>304</v>
      </c>
      <c r="Z1" t="s">
        <v>302</v>
      </c>
      <c r="AA1" t="s">
        <v>303</v>
      </c>
    </row>
    <row r="2" spans="1:31" x14ac:dyDescent="0.25">
      <c r="A2" t="s">
        <v>234</v>
      </c>
      <c r="B2" t="s">
        <v>60</v>
      </c>
      <c r="C2" t="s">
        <v>60</v>
      </c>
      <c r="D2" t="s">
        <v>60</v>
      </c>
      <c r="E2" s="7" t="s">
        <v>400</v>
      </c>
      <c r="F2" s="15">
        <v>45323</v>
      </c>
      <c r="G2" s="15">
        <v>45351</v>
      </c>
      <c r="H2" s="7"/>
      <c r="I2" s="8"/>
      <c r="J2" s="8"/>
      <c r="K2" s="9">
        <v>45078</v>
      </c>
      <c r="L2" s="7" t="s">
        <v>124</v>
      </c>
      <c r="M2" s="8"/>
      <c r="N2" s="8" t="s">
        <v>289</v>
      </c>
      <c r="O2" s="8" t="s">
        <v>251</v>
      </c>
      <c r="P2" s="8"/>
      <c r="Q2" s="8"/>
      <c r="R2" s="8"/>
      <c r="S2" s="6"/>
      <c r="T2" s="6"/>
      <c r="U2" s="7" t="s">
        <v>305</v>
      </c>
      <c r="V2" s="7"/>
      <c r="W2" s="7" t="s">
        <v>308</v>
      </c>
      <c r="X2" s="7"/>
      <c r="Y2" s="7"/>
      <c r="Z2" s="7">
        <v>2005</v>
      </c>
      <c r="AA2" s="7">
        <v>2020</v>
      </c>
    </row>
    <row r="3" spans="1:31" x14ac:dyDescent="0.25">
      <c r="A3" s="1" t="s">
        <v>2</v>
      </c>
      <c r="B3" t="s">
        <v>60</v>
      </c>
      <c r="C3" t="s">
        <v>60</v>
      </c>
      <c r="D3" t="s">
        <v>60</v>
      </c>
      <c r="E3" s="7" t="s">
        <v>400</v>
      </c>
      <c r="F3" s="15">
        <v>45323</v>
      </c>
      <c r="G3" s="15">
        <v>45351</v>
      </c>
      <c r="H3" s="7">
        <v>3.36</v>
      </c>
      <c r="I3" s="8"/>
      <c r="J3" s="8"/>
      <c r="K3" s="9">
        <v>42736</v>
      </c>
      <c r="L3" s="7" t="s">
        <v>124</v>
      </c>
      <c r="M3" s="8"/>
      <c r="N3" s="8" t="s">
        <v>187</v>
      </c>
      <c r="O3" s="8" t="s">
        <v>252</v>
      </c>
      <c r="P3" s="8"/>
      <c r="Q3" s="8"/>
      <c r="R3" s="8"/>
      <c r="S3" s="6"/>
      <c r="T3" s="6"/>
      <c r="U3" s="7" t="s">
        <v>305</v>
      </c>
      <c r="V3" s="7"/>
      <c r="W3" s="7" t="s">
        <v>308</v>
      </c>
      <c r="X3" s="7"/>
      <c r="Y3" s="7"/>
      <c r="Z3" s="7">
        <v>2005</v>
      </c>
      <c r="AA3" s="7">
        <v>2020</v>
      </c>
    </row>
    <row r="4" spans="1:31" x14ac:dyDescent="0.25">
      <c r="A4" t="s">
        <v>3</v>
      </c>
      <c r="B4" t="s">
        <v>60</v>
      </c>
      <c r="C4" t="s">
        <v>60</v>
      </c>
      <c r="D4" t="s">
        <v>60</v>
      </c>
      <c r="E4" s="7" t="s">
        <v>400</v>
      </c>
      <c r="F4" s="15">
        <v>45323</v>
      </c>
      <c r="G4" s="15">
        <v>45351</v>
      </c>
      <c r="H4" s="7">
        <v>3.36</v>
      </c>
      <c r="I4" s="8"/>
      <c r="J4" s="8"/>
      <c r="K4" s="9">
        <v>44866</v>
      </c>
      <c r="L4" s="7" t="s">
        <v>124</v>
      </c>
      <c r="M4" s="8"/>
      <c r="N4" s="8" t="s">
        <v>187</v>
      </c>
      <c r="O4" s="8" t="s">
        <v>249</v>
      </c>
      <c r="P4" s="8"/>
      <c r="Q4" s="8"/>
      <c r="R4" s="8"/>
      <c r="S4" s="6"/>
      <c r="T4" s="6"/>
      <c r="U4" s="7" t="s">
        <v>305</v>
      </c>
      <c r="V4" s="7"/>
      <c r="W4" s="7" t="s">
        <v>308</v>
      </c>
      <c r="X4" s="7"/>
      <c r="Y4" s="7"/>
      <c r="Z4" s="7">
        <v>2005</v>
      </c>
      <c r="AA4" s="7">
        <v>2020</v>
      </c>
    </row>
    <row r="5" spans="1:31" x14ac:dyDescent="0.25">
      <c r="A5" t="s">
        <v>4</v>
      </c>
      <c r="B5" t="s">
        <v>60</v>
      </c>
      <c r="C5" t="s">
        <v>60</v>
      </c>
      <c r="D5" t="s">
        <v>60</v>
      </c>
      <c r="E5" s="7" t="s">
        <v>400</v>
      </c>
      <c r="F5" s="15">
        <v>45323</v>
      </c>
      <c r="G5" s="15">
        <v>45351</v>
      </c>
      <c r="H5" s="7">
        <v>0.84</v>
      </c>
      <c r="I5" s="8"/>
      <c r="J5" s="8"/>
      <c r="K5" s="9"/>
      <c r="L5" s="7" t="s">
        <v>124</v>
      </c>
      <c r="M5" s="8"/>
      <c r="N5" s="8" t="s">
        <v>189</v>
      </c>
      <c r="O5" s="8" t="s">
        <v>253</v>
      </c>
      <c r="P5" s="8"/>
      <c r="Q5" s="8"/>
      <c r="R5" s="8"/>
      <c r="S5" s="6"/>
      <c r="T5" s="6"/>
      <c r="U5" s="7" t="s">
        <v>305</v>
      </c>
      <c r="V5" s="7"/>
      <c r="W5" s="7" t="s">
        <v>308</v>
      </c>
      <c r="X5" s="7"/>
      <c r="Y5" s="7"/>
      <c r="Z5" s="7">
        <v>2005</v>
      </c>
      <c r="AA5" s="7">
        <v>2020</v>
      </c>
    </row>
    <row r="6" spans="1:31" x14ac:dyDescent="0.25">
      <c r="A6" t="s">
        <v>224</v>
      </c>
      <c r="B6" t="s">
        <v>60</v>
      </c>
      <c r="C6" t="s">
        <v>60</v>
      </c>
      <c r="D6" t="s">
        <v>60</v>
      </c>
      <c r="E6" s="7" t="s">
        <v>400</v>
      </c>
      <c r="F6" s="15">
        <v>45323</v>
      </c>
      <c r="G6" s="15">
        <v>45351</v>
      </c>
      <c r="H6" s="7"/>
      <c r="I6" s="8"/>
      <c r="J6" s="8" t="s">
        <v>288</v>
      </c>
      <c r="K6" s="9">
        <v>45078</v>
      </c>
      <c r="L6" s="7" t="s">
        <v>124</v>
      </c>
      <c r="M6" s="8"/>
      <c r="N6" s="8"/>
      <c r="O6" s="8" t="s">
        <v>254</v>
      </c>
      <c r="P6" s="8"/>
      <c r="Q6" s="8"/>
      <c r="R6" s="8"/>
      <c r="S6" s="6"/>
      <c r="T6" s="6"/>
      <c r="U6" s="7" t="s">
        <v>305</v>
      </c>
      <c r="V6" s="7"/>
      <c r="W6" s="7" t="s">
        <v>308</v>
      </c>
      <c r="X6" s="7"/>
      <c r="Y6" s="7"/>
      <c r="Z6" s="7">
        <v>2005</v>
      </c>
      <c r="AA6" s="7">
        <v>2020</v>
      </c>
    </row>
    <row r="7" spans="1:31" s="19" customFormat="1" x14ac:dyDescent="0.25">
      <c r="A7" s="25" t="s">
        <v>64</v>
      </c>
      <c r="B7" t="s">
        <v>60</v>
      </c>
      <c r="C7" s="19" t="s">
        <v>60</v>
      </c>
      <c r="D7" s="19" t="s">
        <v>60</v>
      </c>
      <c r="E7" s="7" t="s">
        <v>400</v>
      </c>
      <c r="F7" s="15">
        <v>45444</v>
      </c>
      <c r="G7" s="15">
        <v>45473</v>
      </c>
      <c r="H7" s="20">
        <f>285*470/1000</f>
        <v>133.94999999999999</v>
      </c>
      <c r="I7" s="21">
        <v>285</v>
      </c>
      <c r="J7" s="21" t="s">
        <v>250</v>
      </c>
      <c r="K7" s="22">
        <v>44835</v>
      </c>
      <c r="L7" s="20" t="s">
        <v>124</v>
      </c>
      <c r="M7" s="21" t="s">
        <v>436</v>
      </c>
      <c r="N7" s="21" t="s">
        <v>184</v>
      </c>
      <c r="O7" s="21" t="s">
        <v>255</v>
      </c>
      <c r="P7" s="21" t="s">
        <v>185</v>
      </c>
      <c r="Q7" s="21" t="s">
        <v>186</v>
      </c>
      <c r="R7" s="21"/>
      <c r="S7" s="23" t="s">
        <v>337</v>
      </c>
      <c r="T7" s="23" t="s">
        <v>338</v>
      </c>
      <c r="U7" s="20" t="s">
        <v>305</v>
      </c>
      <c r="V7" s="20">
        <v>14</v>
      </c>
      <c r="W7" s="20" t="s">
        <v>308</v>
      </c>
      <c r="X7" s="20">
        <v>15</v>
      </c>
      <c r="Y7" s="20">
        <v>180</v>
      </c>
      <c r="Z7" s="20">
        <v>2005</v>
      </c>
      <c r="AA7" s="20">
        <v>2020</v>
      </c>
      <c r="AC7" s="30" t="s">
        <v>446</v>
      </c>
      <c r="AD7" s="30"/>
      <c r="AE7" s="30"/>
    </row>
    <row r="8" spans="1:31" x14ac:dyDescent="0.25">
      <c r="A8" t="s">
        <v>5</v>
      </c>
      <c r="B8" t="s">
        <v>60</v>
      </c>
      <c r="C8" s="19" t="s">
        <v>60</v>
      </c>
      <c r="D8" s="19" t="s">
        <v>60</v>
      </c>
      <c r="E8" s="7" t="s">
        <v>400</v>
      </c>
      <c r="F8" s="15">
        <v>45444</v>
      </c>
      <c r="G8" s="15">
        <v>45473</v>
      </c>
      <c r="H8" s="7">
        <v>17.04</v>
      </c>
      <c r="I8" s="8"/>
      <c r="J8" s="8"/>
      <c r="K8" s="9">
        <v>43040</v>
      </c>
      <c r="L8" s="7" t="s">
        <v>124</v>
      </c>
      <c r="M8" s="8"/>
      <c r="N8" s="8" t="s">
        <v>190</v>
      </c>
      <c r="O8" s="8" t="s">
        <v>256</v>
      </c>
      <c r="P8" s="8"/>
      <c r="Q8" s="8"/>
      <c r="R8" s="8"/>
      <c r="S8" s="6"/>
      <c r="T8" s="6"/>
      <c r="U8" s="7" t="s">
        <v>305</v>
      </c>
      <c r="V8" s="7"/>
      <c r="W8" s="7" t="s">
        <v>308</v>
      </c>
      <c r="X8" s="7"/>
      <c r="Y8" s="7"/>
      <c r="Z8" s="7">
        <v>2005</v>
      </c>
      <c r="AA8" s="7">
        <v>2020</v>
      </c>
      <c r="AC8" s="30"/>
      <c r="AD8" s="30"/>
      <c r="AE8" s="30"/>
    </row>
    <row r="9" spans="1:31" x14ac:dyDescent="0.25">
      <c r="A9" t="s">
        <v>65</v>
      </c>
      <c r="B9" t="s">
        <v>60</v>
      </c>
      <c r="C9" s="19" t="s">
        <v>60</v>
      </c>
      <c r="D9" s="19" t="s">
        <v>60</v>
      </c>
      <c r="E9" s="7" t="s">
        <v>400</v>
      </c>
      <c r="F9" s="15">
        <v>45444</v>
      </c>
      <c r="G9" s="15">
        <v>45473</v>
      </c>
      <c r="H9" s="7">
        <v>6.72</v>
      </c>
      <c r="I9" s="8"/>
      <c r="J9" s="8"/>
      <c r="K9" s="9">
        <v>44562</v>
      </c>
      <c r="L9" s="7" t="s">
        <v>124</v>
      </c>
      <c r="M9" s="8"/>
      <c r="N9" s="8" t="s">
        <v>188</v>
      </c>
      <c r="O9" s="8" t="s">
        <v>257</v>
      </c>
      <c r="P9" s="8"/>
      <c r="Q9" s="8"/>
      <c r="R9" s="8"/>
      <c r="S9" s="6"/>
      <c r="T9" s="6"/>
      <c r="U9" s="7" t="s">
        <v>305</v>
      </c>
      <c r="V9" s="7"/>
      <c r="W9" s="7" t="s">
        <v>308</v>
      </c>
      <c r="X9" s="7"/>
      <c r="Y9" s="7"/>
      <c r="Z9" s="7">
        <v>2005</v>
      </c>
      <c r="AA9" s="7">
        <v>2020</v>
      </c>
      <c r="AC9" s="27" t="s">
        <v>447</v>
      </c>
      <c r="AD9" s="29" t="s">
        <v>64</v>
      </c>
      <c r="AE9" s="29"/>
    </row>
    <row r="10" spans="1:31" x14ac:dyDescent="0.25">
      <c r="A10" t="s">
        <v>66</v>
      </c>
      <c r="B10" t="s">
        <v>60</v>
      </c>
      <c r="C10" s="19" t="s">
        <v>60</v>
      </c>
      <c r="D10" s="19" t="s">
        <v>60</v>
      </c>
      <c r="E10" s="7" t="s">
        <v>400</v>
      </c>
      <c r="F10" s="15">
        <v>45444</v>
      </c>
      <c r="G10" s="15">
        <v>45473</v>
      </c>
      <c r="H10" s="7">
        <v>1.68</v>
      </c>
      <c r="I10" s="8"/>
      <c r="J10" s="8" t="s">
        <v>286</v>
      </c>
      <c r="K10" s="9">
        <v>44256</v>
      </c>
      <c r="L10" s="7" t="s">
        <v>124</v>
      </c>
      <c r="M10" s="8"/>
      <c r="N10" s="8" t="s">
        <v>187</v>
      </c>
      <c r="O10" s="8"/>
      <c r="P10" s="8"/>
      <c r="Q10" s="8"/>
      <c r="R10" s="8"/>
      <c r="S10" s="6"/>
      <c r="T10" s="6"/>
      <c r="U10" s="7" t="s">
        <v>305</v>
      </c>
      <c r="V10" s="7"/>
      <c r="W10" s="7" t="s">
        <v>308</v>
      </c>
      <c r="X10" s="7"/>
      <c r="Y10" s="7"/>
      <c r="Z10" s="7">
        <v>2005</v>
      </c>
      <c r="AA10" s="7">
        <v>2020</v>
      </c>
      <c r="AC10" s="26"/>
      <c r="AD10" s="26"/>
      <c r="AE10" s="26"/>
    </row>
    <row r="11" spans="1:31" x14ac:dyDescent="0.25">
      <c r="A11" t="s">
        <v>6</v>
      </c>
      <c r="B11" t="s">
        <v>60</v>
      </c>
      <c r="C11" s="19" t="s">
        <v>60</v>
      </c>
      <c r="D11" s="19" t="s">
        <v>60</v>
      </c>
      <c r="E11" s="7" t="s">
        <v>400</v>
      </c>
      <c r="F11" s="15">
        <v>45444</v>
      </c>
      <c r="G11" s="15">
        <v>45473</v>
      </c>
      <c r="H11" s="7">
        <v>1.68</v>
      </c>
      <c r="I11" s="8"/>
      <c r="J11" s="8" t="s">
        <v>286</v>
      </c>
      <c r="K11" s="9">
        <v>44256</v>
      </c>
      <c r="L11" s="7" t="s">
        <v>124</v>
      </c>
      <c r="M11" s="8"/>
      <c r="N11" s="8" t="s">
        <v>187</v>
      </c>
      <c r="O11" s="8"/>
      <c r="P11" s="8"/>
      <c r="Q11" s="8"/>
      <c r="R11" s="8"/>
      <c r="S11" s="6"/>
      <c r="T11" s="6"/>
      <c r="U11" s="7" t="s">
        <v>305</v>
      </c>
      <c r="V11" s="7"/>
      <c r="W11" s="7" t="s">
        <v>308</v>
      </c>
      <c r="X11" s="7"/>
      <c r="Y11" s="7"/>
      <c r="Z11" s="7">
        <v>2005</v>
      </c>
      <c r="AA11" s="7">
        <v>2020</v>
      </c>
      <c r="AC11" s="26"/>
      <c r="AD11" s="26"/>
      <c r="AE11" s="26"/>
    </row>
    <row r="12" spans="1:31" x14ac:dyDescent="0.25">
      <c r="A12" t="s">
        <v>67</v>
      </c>
      <c r="B12" t="s">
        <v>60</v>
      </c>
      <c r="C12" s="19" t="s">
        <v>60</v>
      </c>
      <c r="D12" s="19" t="s">
        <v>60</v>
      </c>
      <c r="E12" s="7" t="s">
        <v>400</v>
      </c>
      <c r="F12" s="15">
        <v>45444</v>
      </c>
      <c r="G12" s="15">
        <v>45473</v>
      </c>
      <c r="H12" s="7">
        <v>0</v>
      </c>
      <c r="I12" s="8"/>
      <c r="J12" s="8"/>
      <c r="K12" s="9">
        <v>44409</v>
      </c>
      <c r="L12" s="7" t="s">
        <v>124</v>
      </c>
      <c r="M12" s="8"/>
      <c r="N12" s="8"/>
      <c r="O12" s="8" t="s">
        <v>258</v>
      </c>
      <c r="P12" s="8"/>
      <c r="Q12" s="8"/>
      <c r="R12" s="8"/>
      <c r="S12" s="6"/>
      <c r="T12" s="6"/>
      <c r="U12" s="7" t="s">
        <v>305</v>
      </c>
      <c r="V12" s="7"/>
      <c r="W12" s="7" t="s">
        <v>308</v>
      </c>
      <c r="X12" s="7"/>
      <c r="Y12" s="7"/>
      <c r="Z12" s="7">
        <v>2005</v>
      </c>
      <c r="AA12" s="7">
        <v>2020</v>
      </c>
    </row>
    <row r="13" spans="1:31" x14ac:dyDescent="0.25">
      <c r="A13" t="s">
        <v>7</v>
      </c>
      <c r="B13" t="s">
        <v>60</v>
      </c>
      <c r="C13" s="19" t="s">
        <v>60</v>
      </c>
      <c r="D13" s="19" t="s">
        <v>60</v>
      </c>
      <c r="E13" s="7" t="s">
        <v>400</v>
      </c>
      <c r="F13" s="15">
        <v>45444</v>
      </c>
      <c r="G13" s="15">
        <v>45473</v>
      </c>
      <c r="H13" s="7">
        <v>0</v>
      </c>
      <c r="I13" s="8"/>
      <c r="J13" s="8"/>
      <c r="K13" s="9">
        <v>44317</v>
      </c>
      <c r="L13" s="7" t="s">
        <v>124</v>
      </c>
      <c r="M13" s="8"/>
      <c r="N13" s="8" t="s">
        <v>191</v>
      </c>
      <c r="O13" s="8"/>
      <c r="P13" s="8"/>
      <c r="Q13" s="8"/>
      <c r="R13" s="8"/>
      <c r="S13" s="6"/>
      <c r="T13" s="6"/>
      <c r="U13" s="7" t="s">
        <v>305</v>
      </c>
      <c r="V13" s="7"/>
      <c r="W13" s="7" t="s">
        <v>308</v>
      </c>
      <c r="X13" s="7"/>
      <c r="Y13" s="7"/>
      <c r="Z13" s="7">
        <v>2005</v>
      </c>
      <c r="AA13" s="7">
        <v>2020</v>
      </c>
    </row>
    <row r="14" spans="1:31" x14ac:dyDescent="0.25">
      <c r="A14" t="s">
        <v>68</v>
      </c>
      <c r="B14" t="s">
        <v>60</v>
      </c>
      <c r="C14" s="19" t="s">
        <v>60</v>
      </c>
      <c r="D14" s="19" t="s">
        <v>60</v>
      </c>
      <c r="E14" s="7" t="s">
        <v>400</v>
      </c>
      <c r="F14" s="15">
        <v>45444</v>
      </c>
      <c r="G14" s="15">
        <v>45473</v>
      </c>
      <c r="H14" s="7">
        <v>2.04</v>
      </c>
      <c r="I14" s="8"/>
      <c r="J14" s="8" t="s">
        <v>286</v>
      </c>
      <c r="K14" s="9">
        <v>44105</v>
      </c>
      <c r="L14" s="7" t="s">
        <v>124</v>
      </c>
      <c r="M14" s="8"/>
      <c r="N14" s="8" t="s">
        <v>192</v>
      </c>
      <c r="O14" s="8"/>
      <c r="P14" s="8"/>
      <c r="Q14" s="8"/>
      <c r="R14" s="8"/>
      <c r="S14" s="6"/>
      <c r="T14" s="6"/>
      <c r="U14" s="7" t="s">
        <v>305</v>
      </c>
      <c r="V14" s="7"/>
      <c r="W14" s="7" t="s">
        <v>308</v>
      </c>
      <c r="X14" s="7"/>
      <c r="Y14" s="7"/>
      <c r="Z14" s="7">
        <v>2005</v>
      </c>
      <c r="AA14" s="7">
        <v>2020</v>
      </c>
    </row>
    <row r="15" spans="1:31" x14ac:dyDescent="0.25">
      <c r="A15" t="s">
        <v>8</v>
      </c>
      <c r="B15" t="s">
        <v>60</v>
      </c>
      <c r="C15" s="19" t="s">
        <v>60</v>
      </c>
      <c r="D15" s="19" t="s">
        <v>60</v>
      </c>
      <c r="E15" s="7" t="s">
        <v>400</v>
      </c>
      <c r="F15" s="15">
        <v>45444</v>
      </c>
      <c r="G15" s="15">
        <v>45473</v>
      </c>
      <c r="H15" s="7">
        <v>0</v>
      </c>
      <c r="I15" s="8"/>
      <c r="J15" s="8"/>
      <c r="K15" s="9">
        <v>44986</v>
      </c>
      <c r="L15" s="7" t="s">
        <v>124</v>
      </c>
      <c r="M15" s="8"/>
      <c r="N15" s="8"/>
      <c r="O15" s="8" t="s">
        <v>259</v>
      </c>
      <c r="P15" s="8"/>
      <c r="Q15" s="8"/>
      <c r="R15" s="8"/>
      <c r="S15" s="6"/>
      <c r="T15" s="6"/>
      <c r="U15" s="7" t="s">
        <v>305</v>
      </c>
      <c r="V15" s="7"/>
      <c r="W15" s="7" t="s">
        <v>308</v>
      </c>
      <c r="X15" s="7"/>
      <c r="Y15" s="7"/>
      <c r="Z15" s="7">
        <v>2005</v>
      </c>
      <c r="AA15" s="7">
        <v>2020</v>
      </c>
    </row>
    <row r="16" spans="1:31" s="19" customFormat="1" x14ac:dyDescent="0.25">
      <c r="A16" s="25" t="s">
        <v>385</v>
      </c>
      <c r="B16" t="s">
        <v>60</v>
      </c>
      <c r="C16" s="19" t="s">
        <v>60</v>
      </c>
      <c r="D16" s="19" t="s">
        <v>60</v>
      </c>
      <c r="E16" s="7" t="s">
        <v>336</v>
      </c>
      <c r="F16" s="15">
        <v>45383</v>
      </c>
      <c r="G16" s="15">
        <v>45473</v>
      </c>
      <c r="H16" s="20">
        <v>31.28</v>
      </c>
      <c r="I16" s="21">
        <v>68</v>
      </c>
      <c r="J16" s="21" t="s">
        <v>438</v>
      </c>
      <c r="K16" s="22">
        <v>45189</v>
      </c>
      <c r="L16" s="20" t="s">
        <v>124</v>
      </c>
      <c r="M16" s="21" t="s">
        <v>418</v>
      </c>
      <c r="N16" s="8" t="s">
        <v>200</v>
      </c>
      <c r="O16" s="8" t="s">
        <v>367</v>
      </c>
      <c r="P16" s="21" t="s">
        <v>439</v>
      </c>
      <c r="Q16" s="21" t="s">
        <v>440</v>
      </c>
      <c r="R16" s="21" t="s">
        <v>441</v>
      </c>
      <c r="S16" s="23" t="s">
        <v>372</v>
      </c>
      <c r="T16" s="23" t="s">
        <v>373</v>
      </c>
      <c r="U16" s="20" t="s">
        <v>305</v>
      </c>
      <c r="V16" s="20"/>
      <c r="W16" s="20" t="s">
        <v>308</v>
      </c>
      <c r="X16" s="20"/>
      <c r="Y16" s="20"/>
      <c r="Z16" s="20">
        <v>2005</v>
      </c>
      <c r="AA16" s="20">
        <v>2020</v>
      </c>
    </row>
    <row r="17" spans="1:27" x14ac:dyDescent="0.25">
      <c r="A17" t="s">
        <v>69</v>
      </c>
      <c r="B17" t="s">
        <v>60</v>
      </c>
      <c r="C17" s="19" t="s">
        <v>60</v>
      </c>
      <c r="D17" s="19" t="s">
        <v>60</v>
      </c>
      <c r="E17" s="7" t="s">
        <v>400</v>
      </c>
      <c r="F17" s="15">
        <v>45444</v>
      </c>
      <c r="G17" s="15">
        <v>45473</v>
      </c>
      <c r="H17" s="7">
        <v>4.08</v>
      </c>
      <c r="I17" s="8"/>
      <c r="J17" s="8"/>
      <c r="K17" s="9">
        <v>44774</v>
      </c>
      <c r="L17" s="7" t="s">
        <v>124</v>
      </c>
      <c r="M17" s="8"/>
      <c r="N17" s="8" t="s">
        <v>192</v>
      </c>
      <c r="O17" s="8" t="s">
        <v>260</v>
      </c>
      <c r="P17" s="8"/>
      <c r="Q17" s="8"/>
      <c r="R17" s="8"/>
      <c r="S17" s="6"/>
      <c r="T17" s="6"/>
      <c r="U17" s="7" t="s">
        <v>305</v>
      </c>
      <c r="V17" s="7"/>
      <c r="W17" s="7" t="s">
        <v>308</v>
      </c>
      <c r="X17" s="7"/>
      <c r="Y17" s="7"/>
      <c r="Z17" s="7">
        <v>2005</v>
      </c>
      <c r="AA17" s="7">
        <v>2020</v>
      </c>
    </row>
    <row r="18" spans="1:27" x14ac:dyDescent="0.25">
      <c r="A18" t="s">
        <v>9</v>
      </c>
      <c r="B18" t="s">
        <v>60</v>
      </c>
      <c r="C18" s="19" t="s">
        <v>60</v>
      </c>
      <c r="D18" s="19" t="s">
        <v>60</v>
      </c>
      <c r="E18" s="7" t="s">
        <v>400</v>
      </c>
      <c r="F18" s="15">
        <v>45444</v>
      </c>
      <c r="G18" s="15">
        <v>45473</v>
      </c>
      <c r="H18" s="7">
        <v>2.04</v>
      </c>
      <c r="I18" s="8"/>
      <c r="J18" s="8"/>
      <c r="K18" s="9">
        <v>44713</v>
      </c>
      <c r="L18" s="7" t="s">
        <v>124</v>
      </c>
      <c r="M18" s="8"/>
      <c r="N18" s="8" t="s">
        <v>192</v>
      </c>
      <c r="O18" s="8" t="s">
        <v>261</v>
      </c>
      <c r="P18" s="8"/>
      <c r="Q18" s="8"/>
      <c r="R18" s="8"/>
      <c r="S18" s="6"/>
      <c r="T18" s="6"/>
      <c r="U18" s="7" t="s">
        <v>305</v>
      </c>
      <c r="V18" s="7"/>
      <c r="W18" s="7" t="s">
        <v>308</v>
      </c>
      <c r="X18" s="7"/>
      <c r="Y18" s="7"/>
      <c r="Z18" s="7">
        <v>2005</v>
      </c>
      <c r="AA18" s="7">
        <v>2020</v>
      </c>
    </row>
    <row r="19" spans="1:27" s="19" customFormat="1" x14ac:dyDescent="0.25">
      <c r="A19" s="19" t="s">
        <v>10</v>
      </c>
      <c r="B19" t="s">
        <v>60</v>
      </c>
      <c r="C19" s="19" t="s">
        <v>60</v>
      </c>
      <c r="D19" s="19" t="s">
        <v>59</v>
      </c>
      <c r="E19" s="7" t="s">
        <v>400</v>
      </c>
      <c r="F19" s="15">
        <v>45444</v>
      </c>
      <c r="G19" s="15">
        <v>45473</v>
      </c>
      <c r="H19" s="20">
        <v>9.6</v>
      </c>
      <c r="I19" s="21">
        <v>16</v>
      </c>
      <c r="J19" s="21"/>
      <c r="K19" s="22">
        <v>44197</v>
      </c>
      <c r="L19" s="20" t="s">
        <v>124</v>
      </c>
      <c r="M19" s="21" t="s">
        <v>293</v>
      </c>
      <c r="N19" s="21" t="s">
        <v>193</v>
      </c>
      <c r="O19" s="21" t="s">
        <v>251</v>
      </c>
      <c r="P19" s="21" t="s">
        <v>294</v>
      </c>
      <c r="Q19" s="21" t="s">
        <v>295</v>
      </c>
      <c r="R19" s="21">
        <v>1000</v>
      </c>
      <c r="S19" s="23" t="s">
        <v>320</v>
      </c>
      <c r="T19" s="23" t="s">
        <v>321</v>
      </c>
      <c r="U19" s="20" t="s">
        <v>305</v>
      </c>
      <c r="V19" s="20">
        <v>14</v>
      </c>
      <c r="W19" s="20" t="s">
        <v>309</v>
      </c>
      <c r="X19" s="20">
        <v>25</v>
      </c>
      <c r="Y19" s="20">
        <v>0</v>
      </c>
      <c r="Z19" s="20">
        <v>2005</v>
      </c>
      <c r="AA19" s="20">
        <v>2020</v>
      </c>
    </row>
    <row r="20" spans="1:27" x14ac:dyDescent="0.25">
      <c r="A20" t="s">
        <v>11</v>
      </c>
      <c r="B20" t="s">
        <v>60</v>
      </c>
      <c r="C20" s="19" t="s">
        <v>60</v>
      </c>
      <c r="D20" s="19" t="s">
        <v>60</v>
      </c>
      <c r="E20" s="7" t="s">
        <v>400</v>
      </c>
      <c r="F20" s="15">
        <v>45444</v>
      </c>
      <c r="G20" s="15">
        <v>45473</v>
      </c>
      <c r="H20" s="7">
        <v>9.6</v>
      </c>
      <c r="I20" s="8"/>
      <c r="J20" s="8"/>
      <c r="K20" s="9">
        <v>44256</v>
      </c>
      <c r="L20" s="7" t="s">
        <v>124</v>
      </c>
      <c r="M20" s="8"/>
      <c r="N20" s="8" t="s">
        <v>194</v>
      </c>
      <c r="O20" s="8" t="s">
        <v>260</v>
      </c>
      <c r="P20" s="8"/>
      <c r="Q20" s="8"/>
      <c r="R20" s="8"/>
      <c r="S20" s="6"/>
      <c r="T20" s="6"/>
      <c r="U20" s="7" t="s">
        <v>305</v>
      </c>
      <c r="V20" s="7"/>
      <c r="W20" s="7" t="s">
        <v>308</v>
      </c>
      <c r="X20" s="7"/>
      <c r="Y20" s="7"/>
      <c r="Z20" s="7">
        <v>2005</v>
      </c>
      <c r="AA20" s="7">
        <v>2020</v>
      </c>
    </row>
    <row r="21" spans="1:27" x14ac:dyDescent="0.25">
      <c r="A21" t="s">
        <v>70</v>
      </c>
      <c r="B21" t="s">
        <v>60</v>
      </c>
      <c r="C21" s="19" t="s">
        <v>60</v>
      </c>
      <c r="D21" s="19" t="s">
        <v>60</v>
      </c>
      <c r="E21" s="7" t="s">
        <v>400</v>
      </c>
      <c r="F21" s="15">
        <v>45444</v>
      </c>
      <c r="G21" s="15">
        <v>45473</v>
      </c>
      <c r="H21" s="7">
        <v>15.12</v>
      </c>
      <c r="I21" s="8"/>
      <c r="J21" s="8"/>
      <c r="K21" s="9">
        <v>44927</v>
      </c>
      <c r="L21" s="7" t="s">
        <v>124</v>
      </c>
      <c r="M21" s="8"/>
      <c r="N21" s="8"/>
      <c r="O21" s="8" t="s">
        <v>248</v>
      </c>
      <c r="P21" s="8"/>
      <c r="Q21" s="8"/>
      <c r="R21" s="8"/>
      <c r="S21" s="6"/>
      <c r="T21" s="6"/>
      <c r="U21" s="7" t="s">
        <v>305</v>
      </c>
      <c r="V21" s="7"/>
      <c r="W21" s="7" t="s">
        <v>308</v>
      </c>
      <c r="X21" s="7"/>
      <c r="Y21" s="7"/>
      <c r="Z21" s="7">
        <v>2005</v>
      </c>
      <c r="AA21" s="7">
        <v>2020</v>
      </c>
    </row>
    <row r="22" spans="1:27" x14ac:dyDescent="0.25">
      <c r="A22" t="s">
        <v>378</v>
      </c>
      <c r="B22" t="s">
        <v>60</v>
      </c>
      <c r="C22" s="19" t="s">
        <v>60</v>
      </c>
      <c r="D22" s="19" t="s">
        <v>60</v>
      </c>
      <c r="E22" s="7" t="s">
        <v>400</v>
      </c>
      <c r="F22" s="15">
        <v>45444</v>
      </c>
      <c r="G22" s="15">
        <v>45473</v>
      </c>
      <c r="H22" s="7"/>
      <c r="I22" s="8"/>
      <c r="J22" s="8" t="s">
        <v>382</v>
      </c>
      <c r="K22" s="9">
        <v>45209</v>
      </c>
      <c r="L22" s="7" t="s">
        <v>124</v>
      </c>
      <c r="M22" s="8"/>
      <c r="N22" s="8"/>
      <c r="O22" s="8" t="s">
        <v>379</v>
      </c>
      <c r="P22" s="8" t="s">
        <v>383</v>
      </c>
      <c r="Q22" s="8"/>
      <c r="R22" s="8"/>
      <c r="S22" s="6" t="s">
        <v>380</v>
      </c>
      <c r="T22" s="6" t="s">
        <v>381</v>
      </c>
      <c r="U22" s="7" t="s">
        <v>305</v>
      </c>
      <c r="V22" s="7"/>
      <c r="W22" s="7" t="s">
        <v>308</v>
      </c>
      <c r="X22" s="7"/>
      <c r="Y22" s="7"/>
      <c r="Z22" s="7">
        <v>2005</v>
      </c>
      <c r="AA22" s="7">
        <v>2020</v>
      </c>
    </row>
    <row r="23" spans="1:27" x14ac:dyDescent="0.25">
      <c r="A23" t="s">
        <v>12</v>
      </c>
      <c r="B23" t="s">
        <v>60</v>
      </c>
      <c r="C23" s="19" t="s">
        <v>60</v>
      </c>
      <c r="D23" s="19" t="s">
        <v>60</v>
      </c>
      <c r="E23" s="7" t="s">
        <v>400</v>
      </c>
      <c r="F23" s="15">
        <v>45444</v>
      </c>
      <c r="G23" s="15">
        <v>45473</v>
      </c>
      <c r="H23" s="7">
        <v>4.8</v>
      </c>
      <c r="I23" s="8"/>
      <c r="J23" s="8"/>
      <c r="K23" s="9">
        <v>44986</v>
      </c>
      <c r="L23" s="7" t="s">
        <v>124</v>
      </c>
      <c r="M23" s="8"/>
      <c r="N23" s="8" t="s">
        <v>195</v>
      </c>
      <c r="O23" s="8" t="s">
        <v>251</v>
      </c>
      <c r="P23" s="8"/>
      <c r="Q23" s="8"/>
      <c r="R23" s="8"/>
      <c r="S23" s="6"/>
      <c r="T23" s="6"/>
      <c r="U23" s="7" t="s">
        <v>305</v>
      </c>
      <c r="V23" s="7"/>
      <c r="W23" s="7" t="s">
        <v>308</v>
      </c>
      <c r="X23" s="7"/>
      <c r="Y23" s="7"/>
      <c r="Z23" s="7">
        <v>2005</v>
      </c>
      <c r="AA23" s="7">
        <v>2020</v>
      </c>
    </row>
    <row r="24" spans="1:27" x14ac:dyDescent="0.25">
      <c r="A24" t="s">
        <v>225</v>
      </c>
      <c r="B24" t="s">
        <v>60</v>
      </c>
      <c r="C24" s="19" t="s">
        <v>60</v>
      </c>
      <c r="D24" s="19" t="s">
        <v>60</v>
      </c>
      <c r="E24" s="7" t="s">
        <v>400</v>
      </c>
      <c r="F24" s="15">
        <v>45444</v>
      </c>
      <c r="G24" s="15">
        <v>45473</v>
      </c>
      <c r="H24" s="7"/>
      <c r="I24" s="8"/>
      <c r="J24" s="8"/>
      <c r="K24" s="9">
        <v>45017</v>
      </c>
      <c r="L24" s="7" t="s">
        <v>124</v>
      </c>
      <c r="M24" s="8"/>
      <c r="N24" s="8" t="s">
        <v>212</v>
      </c>
      <c r="O24" s="8" t="s">
        <v>260</v>
      </c>
      <c r="P24" s="8"/>
      <c r="Q24" s="8"/>
      <c r="R24" s="8"/>
      <c r="S24" s="6"/>
      <c r="T24" s="6"/>
      <c r="U24" s="7" t="s">
        <v>305</v>
      </c>
      <c r="V24" s="7"/>
      <c r="W24" s="7" t="s">
        <v>308</v>
      </c>
      <c r="X24" s="7"/>
      <c r="Y24" s="7"/>
      <c r="Z24" s="7">
        <v>2005</v>
      </c>
      <c r="AA24" s="7">
        <v>2020</v>
      </c>
    </row>
    <row r="25" spans="1:27" x14ac:dyDescent="0.25">
      <c r="A25" t="s">
        <v>71</v>
      </c>
      <c r="B25" t="s">
        <v>60</v>
      </c>
      <c r="C25" s="19" t="s">
        <v>60</v>
      </c>
      <c r="D25" s="19" t="s">
        <v>60</v>
      </c>
      <c r="E25" s="7" t="s">
        <v>400</v>
      </c>
      <c r="F25" s="15">
        <v>45444</v>
      </c>
      <c r="G25" s="15">
        <v>45473</v>
      </c>
      <c r="H25" s="7">
        <v>2.88</v>
      </c>
      <c r="I25" s="8"/>
      <c r="J25" s="8"/>
      <c r="K25" s="9">
        <v>44621</v>
      </c>
      <c r="L25" s="7" t="s">
        <v>124</v>
      </c>
      <c r="M25" s="8"/>
      <c r="N25" s="8" t="s">
        <v>196</v>
      </c>
      <c r="O25" s="8" t="s">
        <v>249</v>
      </c>
      <c r="P25" s="8"/>
      <c r="Q25" s="8"/>
      <c r="R25" s="8"/>
      <c r="S25" s="6"/>
      <c r="T25" s="6"/>
      <c r="U25" s="7" t="s">
        <v>305</v>
      </c>
      <c r="V25" s="7"/>
      <c r="W25" s="7" t="s">
        <v>308</v>
      </c>
      <c r="X25" s="7"/>
      <c r="Y25" s="7"/>
      <c r="Z25" s="7">
        <v>2005</v>
      </c>
      <c r="AA25" s="7">
        <v>2020</v>
      </c>
    </row>
    <row r="26" spans="1:27" x14ac:dyDescent="0.25">
      <c r="A26" t="s">
        <v>13</v>
      </c>
      <c r="B26" t="s">
        <v>60</v>
      </c>
      <c r="C26" s="19" t="s">
        <v>60</v>
      </c>
      <c r="D26" s="19" t="s">
        <v>60</v>
      </c>
      <c r="E26" s="7" t="s">
        <v>400</v>
      </c>
      <c r="F26" s="15">
        <v>45444</v>
      </c>
      <c r="G26" s="15">
        <v>45473</v>
      </c>
      <c r="H26" s="7">
        <v>25.92</v>
      </c>
      <c r="I26" s="8"/>
      <c r="J26" s="8"/>
      <c r="K26" s="9">
        <v>44927</v>
      </c>
      <c r="L26" s="7" t="s">
        <v>124</v>
      </c>
      <c r="M26" s="8"/>
      <c r="N26" s="8"/>
      <c r="O26" s="8" t="s">
        <v>262</v>
      </c>
      <c r="P26" s="8"/>
      <c r="Q26" s="8"/>
      <c r="R26" s="8"/>
      <c r="S26" s="6"/>
      <c r="T26" s="6"/>
      <c r="U26" s="7" t="s">
        <v>305</v>
      </c>
      <c r="V26" s="7"/>
      <c r="W26" s="7" t="s">
        <v>308</v>
      </c>
      <c r="X26" s="7"/>
      <c r="Y26" s="7"/>
      <c r="Z26" s="7">
        <v>2005</v>
      </c>
      <c r="AA26" s="7">
        <v>2020</v>
      </c>
    </row>
    <row r="27" spans="1:27" x14ac:dyDescent="0.25">
      <c r="A27" t="s">
        <v>72</v>
      </c>
      <c r="B27" t="s">
        <v>60</v>
      </c>
      <c r="C27" s="19" t="s">
        <v>60</v>
      </c>
      <c r="D27" s="19" t="s">
        <v>60</v>
      </c>
      <c r="E27" s="7" t="s">
        <v>400</v>
      </c>
      <c r="F27" s="15">
        <v>45444</v>
      </c>
      <c r="G27" s="15">
        <v>45473</v>
      </c>
      <c r="H27" s="7">
        <v>20.52</v>
      </c>
      <c r="I27" s="8"/>
      <c r="J27" s="8"/>
      <c r="K27" s="9" t="s">
        <v>111</v>
      </c>
      <c r="L27" s="7" t="s">
        <v>124</v>
      </c>
      <c r="M27" s="8"/>
      <c r="N27" s="8"/>
      <c r="O27" s="8" t="s">
        <v>248</v>
      </c>
      <c r="P27" s="8"/>
      <c r="Q27" s="8"/>
      <c r="R27" s="8"/>
      <c r="S27" s="6"/>
      <c r="T27" s="6"/>
      <c r="U27" s="7" t="s">
        <v>305</v>
      </c>
      <c r="V27" s="7"/>
      <c r="W27" s="7" t="s">
        <v>308</v>
      </c>
      <c r="X27" s="7"/>
      <c r="Y27" s="7"/>
      <c r="Z27" s="7">
        <v>2005</v>
      </c>
      <c r="AA27" s="7">
        <v>2020</v>
      </c>
    </row>
    <row r="28" spans="1:27" x14ac:dyDescent="0.25">
      <c r="A28" t="s">
        <v>14</v>
      </c>
      <c r="B28" t="s">
        <v>60</v>
      </c>
      <c r="C28" s="19" t="s">
        <v>60</v>
      </c>
      <c r="D28" s="19" t="s">
        <v>60</v>
      </c>
      <c r="E28" s="7" t="s">
        <v>400</v>
      </c>
      <c r="F28" s="15">
        <v>45444</v>
      </c>
      <c r="G28" s="15">
        <v>45473</v>
      </c>
      <c r="H28" s="7">
        <v>41.04</v>
      </c>
      <c r="I28" s="8"/>
      <c r="J28" s="8"/>
      <c r="K28" s="9">
        <v>44927</v>
      </c>
      <c r="L28" s="7" t="s">
        <v>124</v>
      </c>
      <c r="M28" s="8"/>
      <c r="N28" s="8"/>
      <c r="O28" s="8" t="s">
        <v>254</v>
      </c>
      <c r="P28" s="8"/>
      <c r="Q28" s="8"/>
      <c r="R28" s="8"/>
      <c r="S28" s="6"/>
      <c r="T28" s="6"/>
      <c r="U28" s="7" t="s">
        <v>305</v>
      </c>
      <c r="V28" s="7"/>
      <c r="W28" s="7" t="s">
        <v>308</v>
      </c>
      <c r="X28" s="7"/>
      <c r="Y28" s="7"/>
      <c r="Z28" s="7">
        <v>2005</v>
      </c>
      <c r="AA28" s="7">
        <v>2020</v>
      </c>
    </row>
    <row r="29" spans="1:27" x14ac:dyDescent="0.25">
      <c r="A29" t="s">
        <v>73</v>
      </c>
      <c r="B29" t="s">
        <v>60</v>
      </c>
      <c r="C29" s="19" t="s">
        <v>60</v>
      </c>
      <c r="D29" s="19" t="s">
        <v>60</v>
      </c>
      <c r="E29" s="7" t="s">
        <v>400</v>
      </c>
      <c r="F29" s="15">
        <v>45444</v>
      </c>
      <c r="G29" s="15">
        <v>45473</v>
      </c>
      <c r="H29" s="7">
        <v>41.04</v>
      </c>
      <c r="I29" s="8"/>
      <c r="J29" s="8"/>
      <c r="K29" s="9">
        <v>44927</v>
      </c>
      <c r="L29" s="7" t="s">
        <v>124</v>
      </c>
      <c r="M29" s="8"/>
      <c r="N29" s="8"/>
      <c r="O29" s="8" t="s">
        <v>254</v>
      </c>
      <c r="P29" s="8"/>
      <c r="Q29" s="8"/>
      <c r="R29" s="8"/>
      <c r="S29" s="6"/>
      <c r="T29" s="6"/>
      <c r="U29" s="7" t="s">
        <v>305</v>
      </c>
      <c r="V29" s="7"/>
      <c r="W29" s="7" t="s">
        <v>308</v>
      </c>
      <c r="X29" s="7"/>
      <c r="Y29" s="7"/>
      <c r="Z29" s="7">
        <v>2005</v>
      </c>
      <c r="AA29" s="7">
        <v>2020</v>
      </c>
    </row>
    <row r="30" spans="1:27" x14ac:dyDescent="0.25">
      <c r="A30" t="s">
        <v>15</v>
      </c>
      <c r="B30" t="s">
        <v>60</v>
      </c>
      <c r="C30" s="19" t="s">
        <v>60</v>
      </c>
      <c r="D30" s="19" t="s">
        <v>60</v>
      </c>
      <c r="E30" s="7" t="s">
        <v>400</v>
      </c>
      <c r="F30" s="15">
        <v>45444</v>
      </c>
      <c r="G30" s="15">
        <v>45473</v>
      </c>
      <c r="H30" s="7">
        <v>45.36</v>
      </c>
      <c r="I30" s="8"/>
      <c r="J30" s="8"/>
      <c r="K30" s="9">
        <v>44927</v>
      </c>
      <c r="L30" s="7" t="s">
        <v>124</v>
      </c>
      <c r="M30" s="8"/>
      <c r="N30" s="8"/>
      <c r="O30" s="8" t="s">
        <v>254</v>
      </c>
      <c r="P30" s="8"/>
      <c r="Q30" s="8"/>
      <c r="R30" s="8"/>
      <c r="S30" s="6"/>
      <c r="T30" s="6"/>
      <c r="U30" s="7" t="s">
        <v>305</v>
      </c>
      <c r="V30" s="7"/>
      <c r="W30" s="7" t="s">
        <v>308</v>
      </c>
      <c r="X30" s="7"/>
      <c r="Y30" s="7"/>
      <c r="Z30" s="7">
        <v>2005</v>
      </c>
      <c r="AA30" s="7">
        <v>2020</v>
      </c>
    </row>
    <row r="31" spans="1:27" x14ac:dyDescent="0.25">
      <c r="A31" t="s">
        <v>74</v>
      </c>
      <c r="B31" t="s">
        <v>60</v>
      </c>
      <c r="C31" s="19" t="s">
        <v>60</v>
      </c>
      <c r="D31" s="19" t="s">
        <v>60</v>
      </c>
      <c r="E31" s="7" t="s">
        <v>400</v>
      </c>
      <c r="F31" s="15">
        <v>45444</v>
      </c>
      <c r="G31" s="15">
        <v>45473</v>
      </c>
      <c r="H31" s="7">
        <v>9.6</v>
      </c>
      <c r="I31" s="8"/>
      <c r="J31" s="8"/>
      <c r="K31" s="9">
        <v>44348</v>
      </c>
      <c r="L31" s="7" t="s">
        <v>124</v>
      </c>
      <c r="M31" s="8"/>
      <c r="N31" s="8" t="s">
        <v>193</v>
      </c>
      <c r="O31" s="8" t="s">
        <v>260</v>
      </c>
      <c r="P31" s="8"/>
      <c r="Q31" s="8"/>
      <c r="R31" s="8"/>
      <c r="S31" s="6"/>
      <c r="T31" s="6"/>
      <c r="U31" s="7" t="s">
        <v>305</v>
      </c>
      <c r="V31" s="7"/>
      <c r="W31" s="7" t="s">
        <v>308</v>
      </c>
      <c r="X31" s="7"/>
      <c r="Y31" s="7"/>
      <c r="Z31" s="7">
        <v>2005</v>
      </c>
      <c r="AA31" s="7">
        <v>2020</v>
      </c>
    </row>
    <row r="32" spans="1:27" x14ac:dyDescent="0.25">
      <c r="A32" t="s">
        <v>399</v>
      </c>
      <c r="B32" t="s">
        <v>60</v>
      </c>
      <c r="C32" s="19" t="s">
        <v>60</v>
      </c>
      <c r="D32" s="19" t="s">
        <v>60</v>
      </c>
      <c r="E32" s="7" t="s">
        <v>400</v>
      </c>
      <c r="F32" s="15">
        <v>45444</v>
      </c>
      <c r="G32" s="15">
        <v>45473</v>
      </c>
      <c r="H32" s="7">
        <v>15.12</v>
      </c>
      <c r="I32" s="8"/>
      <c r="J32" s="8" t="s">
        <v>287</v>
      </c>
      <c r="K32" s="9" t="s">
        <v>111</v>
      </c>
      <c r="L32" s="7" t="s">
        <v>124</v>
      </c>
      <c r="M32" s="8"/>
      <c r="N32" s="8"/>
      <c r="O32" s="8" t="s">
        <v>248</v>
      </c>
      <c r="P32" s="8"/>
      <c r="Q32" s="8"/>
      <c r="R32" s="8"/>
      <c r="S32" s="6"/>
      <c r="T32" s="6"/>
      <c r="U32" s="7" t="s">
        <v>305</v>
      </c>
      <c r="V32" s="7"/>
      <c r="W32" s="7" t="s">
        <v>309</v>
      </c>
      <c r="X32" s="7"/>
      <c r="Y32" s="7"/>
      <c r="Z32" s="7">
        <v>2005</v>
      </c>
      <c r="AA32" s="7">
        <v>2020</v>
      </c>
    </row>
    <row r="33" spans="1:27" x14ac:dyDescent="0.25">
      <c r="A33" t="s">
        <v>75</v>
      </c>
      <c r="B33" t="s">
        <v>60</v>
      </c>
      <c r="C33" s="19" t="s">
        <v>60</v>
      </c>
      <c r="D33" s="19" t="s">
        <v>60</v>
      </c>
      <c r="E33" s="7" t="s">
        <v>400</v>
      </c>
      <c r="F33" s="15">
        <v>45444</v>
      </c>
      <c r="G33" s="15">
        <v>45473</v>
      </c>
      <c r="H33" s="7">
        <v>10.8</v>
      </c>
      <c r="I33" s="8"/>
      <c r="J33" s="8"/>
      <c r="K33" s="9">
        <v>44896</v>
      </c>
      <c r="L33" s="7" t="s">
        <v>124</v>
      </c>
      <c r="M33" s="8"/>
      <c r="N33" s="8"/>
      <c r="O33" s="8" t="s">
        <v>254</v>
      </c>
      <c r="P33" s="8"/>
      <c r="Q33" s="8"/>
      <c r="R33" s="8"/>
      <c r="S33" s="6"/>
      <c r="T33" s="6"/>
      <c r="U33" s="7" t="s">
        <v>305</v>
      </c>
      <c r="V33" s="7"/>
      <c r="W33" s="7" t="s">
        <v>308</v>
      </c>
      <c r="X33" s="7"/>
      <c r="Y33" s="7"/>
      <c r="Z33" s="7">
        <v>2005</v>
      </c>
      <c r="AA33" s="7">
        <v>2020</v>
      </c>
    </row>
    <row r="34" spans="1:27" x14ac:dyDescent="0.25">
      <c r="A34" t="s">
        <v>16</v>
      </c>
      <c r="B34" t="s">
        <v>60</v>
      </c>
      <c r="C34" s="19" t="s">
        <v>60</v>
      </c>
      <c r="D34" s="19" t="s">
        <v>60</v>
      </c>
      <c r="E34" s="7" t="s">
        <v>400</v>
      </c>
      <c r="F34" s="15">
        <v>45444</v>
      </c>
      <c r="G34" s="15">
        <v>45473</v>
      </c>
      <c r="H34" s="7">
        <v>6.72</v>
      </c>
      <c r="I34" s="8"/>
      <c r="J34" s="8"/>
      <c r="K34" s="9">
        <v>44805</v>
      </c>
      <c r="L34" s="7" t="s">
        <v>124</v>
      </c>
      <c r="M34" s="8"/>
      <c r="N34" s="8"/>
      <c r="O34" s="8" t="s">
        <v>263</v>
      </c>
      <c r="P34" s="8"/>
      <c r="Q34" s="8"/>
      <c r="R34" s="8"/>
      <c r="S34" s="6"/>
      <c r="T34" s="6"/>
      <c r="U34" s="7" t="s">
        <v>305</v>
      </c>
      <c r="V34" s="7"/>
      <c r="W34" s="7" t="s">
        <v>308</v>
      </c>
      <c r="X34" s="7"/>
      <c r="Y34" s="7"/>
      <c r="Z34" s="7">
        <v>2005</v>
      </c>
      <c r="AA34" s="7">
        <v>2020</v>
      </c>
    </row>
    <row r="35" spans="1:27" x14ac:dyDescent="0.25">
      <c r="A35" t="s">
        <v>17</v>
      </c>
      <c r="B35" t="s">
        <v>60</v>
      </c>
      <c r="C35" s="19" t="s">
        <v>60</v>
      </c>
      <c r="D35" s="19" t="s">
        <v>60</v>
      </c>
      <c r="E35" s="7" t="s">
        <v>400</v>
      </c>
      <c r="F35" s="15">
        <v>45444</v>
      </c>
      <c r="G35" s="15">
        <v>45473</v>
      </c>
      <c r="H35" s="7">
        <v>4.8</v>
      </c>
      <c r="I35" s="8"/>
      <c r="J35" s="8"/>
      <c r="K35" s="9">
        <v>44743</v>
      </c>
      <c r="L35" s="7" t="s">
        <v>124</v>
      </c>
      <c r="M35" s="8"/>
      <c r="N35" s="8" t="s">
        <v>188</v>
      </c>
      <c r="O35" s="8" t="s">
        <v>249</v>
      </c>
      <c r="P35" s="8"/>
      <c r="Q35" s="8"/>
      <c r="R35" s="8"/>
      <c r="S35" s="6"/>
      <c r="T35" s="6"/>
      <c r="U35" s="7" t="s">
        <v>305</v>
      </c>
      <c r="V35" s="7"/>
      <c r="W35" s="7" t="s">
        <v>308</v>
      </c>
      <c r="X35" s="7"/>
      <c r="Y35" s="7"/>
      <c r="Z35" s="7">
        <v>2005</v>
      </c>
      <c r="AA35" s="7">
        <v>2020</v>
      </c>
    </row>
    <row r="36" spans="1:27" x14ac:dyDescent="0.25">
      <c r="A36" s="18" t="s">
        <v>226</v>
      </c>
      <c r="B36" t="s">
        <v>60</v>
      </c>
      <c r="C36" s="19" t="s">
        <v>60</v>
      </c>
      <c r="D36" s="19" t="s">
        <v>60</v>
      </c>
      <c r="E36" s="7" t="s">
        <v>400</v>
      </c>
      <c r="F36" s="15">
        <v>45444</v>
      </c>
      <c r="G36" s="15">
        <v>45473</v>
      </c>
      <c r="H36" s="7"/>
      <c r="I36" s="8">
        <v>12</v>
      </c>
      <c r="J36" s="8"/>
      <c r="K36" s="9">
        <v>45078</v>
      </c>
      <c r="L36" s="7" t="s">
        <v>124</v>
      </c>
      <c r="M36" s="8" t="s">
        <v>407</v>
      </c>
      <c r="N36" s="8" t="s">
        <v>188</v>
      </c>
      <c r="O36" s="8" t="s">
        <v>252</v>
      </c>
      <c r="P36" s="8" t="s">
        <v>406</v>
      </c>
      <c r="Q36" s="8"/>
      <c r="R36" s="8">
        <v>1000</v>
      </c>
      <c r="S36" s="6" t="s">
        <v>376</v>
      </c>
      <c r="T36" s="6" t="s">
        <v>377</v>
      </c>
      <c r="U36" s="7" t="s">
        <v>305</v>
      </c>
      <c r="V36" s="7"/>
      <c r="W36" s="7" t="s">
        <v>308</v>
      </c>
      <c r="X36" s="7"/>
      <c r="Y36" s="7"/>
      <c r="Z36" s="7">
        <v>2005</v>
      </c>
      <c r="AA36" s="7">
        <v>2020</v>
      </c>
    </row>
    <row r="37" spans="1:27" x14ac:dyDescent="0.25">
      <c r="A37" t="s">
        <v>76</v>
      </c>
      <c r="B37" t="s">
        <v>60</v>
      </c>
      <c r="C37" s="19" t="s">
        <v>60</v>
      </c>
      <c r="D37" s="19" t="s">
        <v>60</v>
      </c>
      <c r="E37" s="7" t="s">
        <v>400</v>
      </c>
      <c r="F37" s="15">
        <v>45444</v>
      </c>
      <c r="G37" s="15">
        <v>45473</v>
      </c>
      <c r="H37" s="7">
        <v>3.36</v>
      </c>
      <c r="I37" s="8"/>
      <c r="J37" s="8"/>
      <c r="K37" s="9">
        <v>44835</v>
      </c>
      <c r="L37" s="7" t="s">
        <v>124</v>
      </c>
      <c r="M37" s="8"/>
      <c r="N37" s="8" t="s">
        <v>187</v>
      </c>
      <c r="O37" s="8" t="s">
        <v>249</v>
      </c>
      <c r="P37" s="8"/>
      <c r="Q37" s="8"/>
      <c r="R37" s="8"/>
      <c r="S37" s="6"/>
      <c r="T37" s="6"/>
      <c r="U37" s="7" t="s">
        <v>305</v>
      </c>
      <c r="V37" s="7"/>
      <c r="W37" s="7" t="s">
        <v>308</v>
      </c>
      <c r="X37" s="7"/>
      <c r="Y37" s="7"/>
      <c r="Z37" s="7">
        <v>2005</v>
      </c>
      <c r="AA37" s="7">
        <v>2020</v>
      </c>
    </row>
    <row r="38" spans="1:27" x14ac:dyDescent="0.25">
      <c r="A38" t="s">
        <v>77</v>
      </c>
      <c r="B38" t="s">
        <v>60</v>
      </c>
      <c r="C38" s="19" t="s">
        <v>60</v>
      </c>
      <c r="D38" s="19" t="s">
        <v>60</v>
      </c>
      <c r="E38" s="7" t="s">
        <v>400</v>
      </c>
      <c r="F38" s="15">
        <v>45444</v>
      </c>
      <c r="G38" s="15">
        <v>45473</v>
      </c>
      <c r="H38" s="7">
        <v>4.8</v>
      </c>
      <c r="I38" s="8"/>
      <c r="J38" s="8"/>
      <c r="K38" s="9">
        <v>42036</v>
      </c>
      <c r="L38" s="7" t="s">
        <v>124</v>
      </c>
      <c r="M38" s="8"/>
      <c r="N38" s="8" t="s">
        <v>193</v>
      </c>
      <c r="O38" s="8" t="s">
        <v>261</v>
      </c>
      <c r="P38" s="8"/>
      <c r="Q38" s="8"/>
      <c r="R38" s="8"/>
      <c r="S38" s="6"/>
      <c r="T38" s="6"/>
      <c r="U38" s="7" t="s">
        <v>305</v>
      </c>
      <c r="V38" s="7"/>
      <c r="W38" s="7" t="s">
        <v>308</v>
      </c>
      <c r="X38" s="7"/>
      <c r="Y38" s="7"/>
      <c r="Z38" s="7">
        <v>2005</v>
      </c>
      <c r="AA38" s="7">
        <v>2020</v>
      </c>
    </row>
    <row r="39" spans="1:27" x14ac:dyDescent="0.25">
      <c r="A39" t="s">
        <v>78</v>
      </c>
      <c r="B39" t="s">
        <v>60</v>
      </c>
      <c r="C39" s="19" t="s">
        <v>60</v>
      </c>
      <c r="D39" s="19" t="s">
        <v>60</v>
      </c>
      <c r="E39" s="7" t="s">
        <v>400</v>
      </c>
      <c r="F39" s="15">
        <v>45444</v>
      </c>
      <c r="G39" s="15">
        <v>45473</v>
      </c>
      <c r="H39" s="7">
        <v>28.8</v>
      </c>
      <c r="I39" s="8"/>
      <c r="J39" s="8"/>
      <c r="K39" s="9">
        <v>44896</v>
      </c>
      <c r="L39" s="7" t="s">
        <v>124</v>
      </c>
      <c r="M39" s="8"/>
      <c r="N39" s="8" t="s">
        <v>197</v>
      </c>
      <c r="O39" s="8" t="s">
        <v>255</v>
      </c>
      <c r="P39" s="8"/>
      <c r="Q39" s="8"/>
      <c r="R39" s="8"/>
      <c r="S39" s="6"/>
      <c r="T39" s="6"/>
      <c r="U39" s="7" t="s">
        <v>305</v>
      </c>
      <c r="V39" s="7"/>
      <c r="W39" s="7" t="s">
        <v>308</v>
      </c>
      <c r="X39" s="7"/>
      <c r="Y39" s="7"/>
      <c r="Z39" s="7">
        <v>2005</v>
      </c>
      <c r="AA39" s="7">
        <v>2020</v>
      </c>
    </row>
    <row r="40" spans="1:27" x14ac:dyDescent="0.25">
      <c r="A40" t="s">
        <v>18</v>
      </c>
      <c r="B40" t="s">
        <v>60</v>
      </c>
      <c r="C40" s="19" t="s">
        <v>60</v>
      </c>
      <c r="D40" s="19" t="s">
        <v>60</v>
      </c>
      <c r="E40" s="7" t="s">
        <v>400</v>
      </c>
      <c r="F40" s="15">
        <v>45444</v>
      </c>
      <c r="G40" s="15">
        <v>45473</v>
      </c>
      <c r="H40" s="7">
        <v>5.04</v>
      </c>
      <c r="I40" s="8"/>
      <c r="J40" s="8"/>
      <c r="K40" s="9">
        <v>44866</v>
      </c>
      <c r="L40" s="7" t="s">
        <v>124</v>
      </c>
      <c r="M40" s="8"/>
      <c r="N40" s="8" t="s">
        <v>198</v>
      </c>
      <c r="O40" s="8" t="s">
        <v>259</v>
      </c>
      <c r="P40" s="8"/>
      <c r="Q40" s="8"/>
      <c r="R40" s="8"/>
      <c r="S40" s="6"/>
      <c r="T40" s="6"/>
      <c r="U40" s="7" t="s">
        <v>305</v>
      </c>
      <c r="V40" s="7"/>
      <c r="W40" s="7" t="s">
        <v>308</v>
      </c>
      <c r="X40" s="7"/>
      <c r="Y40" s="7"/>
      <c r="Z40" s="7">
        <v>2005</v>
      </c>
      <c r="AA40" s="7">
        <v>2020</v>
      </c>
    </row>
    <row r="41" spans="1:27" s="19" customFormat="1" x14ac:dyDescent="0.25">
      <c r="A41" s="25" t="s">
        <v>19</v>
      </c>
      <c r="B41" t="s">
        <v>60</v>
      </c>
      <c r="C41" s="19" t="s">
        <v>60</v>
      </c>
      <c r="D41" s="19" t="s">
        <v>60</v>
      </c>
      <c r="E41" s="7" t="s">
        <v>400</v>
      </c>
      <c r="F41" s="15">
        <v>45444</v>
      </c>
      <c r="G41" s="15">
        <v>45473</v>
      </c>
      <c r="H41" s="20">
        <v>27</v>
      </c>
      <c r="I41" s="21"/>
      <c r="J41" s="21"/>
      <c r="K41" s="22">
        <v>44531</v>
      </c>
      <c r="L41" s="20" t="s">
        <v>124</v>
      </c>
      <c r="M41" s="21"/>
      <c r="N41" s="21"/>
      <c r="O41" s="21" t="s">
        <v>248</v>
      </c>
      <c r="P41" s="21"/>
      <c r="Q41" s="21"/>
      <c r="R41" s="21"/>
      <c r="S41" s="23" t="s">
        <v>410</v>
      </c>
      <c r="T41" s="23" t="s">
        <v>411</v>
      </c>
      <c r="U41" s="20" t="s">
        <v>305</v>
      </c>
      <c r="V41" s="20">
        <v>14</v>
      </c>
      <c r="W41" s="20" t="s">
        <v>308</v>
      </c>
      <c r="X41" s="20">
        <v>25</v>
      </c>
      <c r="Y41" s="20">
        <v>0</v>
      </c>
      <c r="Z41" s="20">
        <v>2005</v>
      </c>
      <c r="AA41" s="20">
        <v>2020</v>
      </c>
    </row>
    <row r="42" spans="1:27" x14ac:dyDescent="0.25">
      <c r="A42" t="s">
        <v>79</v>
      </c>
      <c r="B42" t="s">
        <v>60</v>
      </c>
      <c r="C42" s="19" t="s">
        <v>60</v>
      </c>
      <c r="D42" s="19" t="s">
        <v>60</v>
      </c>
      <c r="E42" s="7" t="s">
        <v>400</v>
      </c>
      <c r="F42" s="15">
        <v>45444</v>
      </c>
      <c r="G42" s="15">
        <v>45473</v>
      </c>
      <c r="H42" s="7">
        <v>4.08</v>
      </c>
      <c r="I42" s="8"/>
      <c r="J42" s="8"/>
      <c r="K42" s="9">
        <v>43221</v>
      </c>
      <c r="L42" s="7" t="s">
        <v>124</v>
      </c>
      <c r="M42" s="8"/>
      <c r="N42" s="8" t="s">
        <v>192</v>
      </c>
      <c r="O42" s="8" t="s">
        <v>260</v>
      </c>
      <c r="P42" s="8"/>
      <c r="Q42" s="8"/>
      <c r="R42" s="8"/>
      <c r="S42" s="6"/>
      <c r="T42" s="6"/>
      <c r="U42" s="7" t="s">
        <v>305</v>
      </c>
      <c r="V42" s="7"/>
      <c r="W42" s="7" t="s">
        <v>308</v>
      </c>
      <c r="X42" s="7"/>
      <c r="Y42" s="7"/>
      <c r="Z42" s="7">
        <v>2005</v>
      </c>
      <c r="AA42" s="7">
        <v>2020</v>
      </c>
    </row>
    <row r="43" spans="1:27" x14ac:dyDescent="0.25">
      <c r="A43" t="s">
        <v>80</v>
      </c>
      <c r="B43" t="s">
        <v>60</v>
      </c>
      <c r="C43" s="19" t="s">
        <v>60</v>
      </c>
      <c r="D43" s="19" t="s">
        <v>60</v>
      </c>
      <c r="E43" s="7" t="s">
        <v>400</v>
      </c>
      <c r="F43" s="15">
        <v>45444</v>
      </c>
      <c r="G43" s="15">
        <v>45473</v>
      </c>
      <c r="H43" s="7">
        <v>6.48</v>
      </c>
      <c r="I43" s="8"/>
      <c r="J43" s="8"/>
      <c r="K43" s="9">
        <v>44166</v>
      </c>
      <c r="L43" s="7" t="s">
        <v>124</v>
      </c>
      <c r="M43" s="8"/>
      <c r="N43" s="8" t="s">
        <v>210</v>
      </c>
      <c r="O43" s="8" t="s">
        <v>260</v>
      </c>
      <c r="P43" s="8"/>
      <c r="Q43" s="8"/>
      <c r="R43" s="8"/>
      <c r="S43" s="6"/>
      <c r="T43" s="6"/>
      <c r="U43" s="7" t="s">
        <v>305</v>
      </c>
      <c r="V43" s="7"/>
      <c r="W43" s="7" t="s">
        <v>308</v>
      </c>
      <c r="X43" s="7"/>
      <c r="Y43" s="7"/>
      <c r="Z43" s="7">
        <v>2005</v>
      </c>
      <c r="AA43" s="7">
        <v>2020</v>
      </c>
    </row>
    <row r="44" spans="1:27" x14ac:dyDescent="0.25">
      <c r="A44" t="s">
        <v>235</v>
      </c>
      <c r="B44" t="s">
        <v>60</v>
      </c>
      <c r="C44" s="19" t="s">
        <v>60</v>
      </c>
      <c r="D44" s="19" t="s">
        <v>60</v>
      </c>
      <c r="E44" s="7" t="s">
        <v>400</v>
      </c>
      <c r="F44" s="15">
        <v>45444</v>
      </c>
      <c r="G44" s="15">
        <v>45473</v>
      </c>
      <c r="H44" s="7"/>
      <c r="I44" s="8"/>
      <c r="J44" s="8"/>
      <c r="K44" s="9">
        <v>45078</v>
      </c>
      <c r="L44" s="7" t="s">
        <v>124</v>
      </c>
      <c r="M44" s="8"/>
      <c r="N44" s="8" t="s">
        <v>284</v>
      </c>
      <c r="O44" s="8" t="s">
        <v>249</v>
      </c>
      <c r="P44" s="8"/>
      <c r="Q44" s="8"/>
      <c r="R44" s="8"/>
      <c r="S44" s="6"/>
      <c r="T44" s="6"/>
      <c r="U44" s="7" t="s">
        <v>305</v>
      </c>
      <c r="V44" s="7"/>
      <c r="W44" s="7" t="s">
        <v>308</v>
      </c>
      <c r="X44" s="7"/>
      <c r="Y44" s="7"/>
      <c r="Z44" s="7">
        <v>2005</v>
      </c>
      <c r="AA44" s="7">
        <v>2020</v>
      </c>
    </row>
    <row r="45" spans="1:27" x14ac:dyDescent="0.25">
      <c r="A45" t="s">
        <v>81</v>
      </c>
      <c r="B45" t="s">
        <v>60</v>
      </c>
      <c r="C45" s="19" t="s">
        <v>60</v>
      </c>
      <c r="D45" s="19" t="s">
        <v>60</v>
      </c>
      <c r="E45" s="7" t="s">
        <v>400</v>
      </c>
      <c r="F45" s="15">
        <v>45444</v>
      </c>
      <c r="G45" s="15">
        <v>45473</v>
      </c>
      <c r="H45" s="7">
        <v>1.68</v>
      </c>
      <c r="I45" s="8"/>
      <c r="J45" s="8"/>
      <c r="K45" s="9">
        <v>43221</v>
      </c>
      <c r="L45" s="7" t="s">
        <v>124</v>
      </c>
      <c r="M45" s="8"/>
      <c r="N45" s="8" t="s">
        <v>187</v>
      </c>
      <c r="O45" s="8" t="s">
        <v>258</v>
      </c>
      <c r="P45" s="8"/>
      <c r="Q45" s="8"/>
      <c r="R45" s="8"/>
      <c r="S45" s="6"/>
      <c r="T45" s="6"/>
      <c r="U45" s="7" t="s">
        <v>305</v>
      </c>
      <c r="V45" s="7"/>
      <c r="W45" s="7" t="s">
        <v>308</v>
      </c>
      <c r="X45" s="7"/>
      <c r="Y45" s="7"/>
      <c r="Z45" s="7">
        <v>2005</v>
      </c>
      <c r="AA45" s="7">
        <v>2020</v>
      </c>
    </row>
    <row r="46" spans="1:27" x14ac:dyDescent="0.25">
      <c r="A46" t="s">
        <v>20</v>
      </c>
      <c r="B46" t="s">
        <v>60</v>
      </c>
      <c r="C46" s="19" t="s">
        <v>60</v>
      </c>
      <c r="D46" s="19" t="s">
        <v>60</v>
      </c>
      <c r="E46" s="7" t="s">
        <v>400</v>
      </c>
      <c r="F46" s="15">
        <v>45444</v>
      </c>
      <c r="G46" s="15">
        <v>45473</v>
      </c>
      <c r="H46" s="7">
        <v>4.8</v>
      </c>
      <c r="I46" s="8"/>
      <c r="J46" s="8"/>
      <c r="K46" s="9">
        <v>44805</v>
      </c>
      <c r="L46" s="7" t="s">
        <v>124</v>
      </c>
      <c r="M46" s="8"/>
      <c r="N46" s="8" t="s">
        <v>195</v>
      </c>
      <c r="O46" s="8" t="s">
        <v>264</v>
      </c>
      <c r="P46" s="8"/>
      <c r="Q46" s="8"/>
      <c r="R46" s="8"/>
      <c r="S46" s="6"/>
      <c r="T46" s="6"/>
      <c r="U46" s="7" t="s">
        <v>305</v>
      </c>
      <c r="V46" s="7"/>
      <c r="W46" s="7" t="s">
        <v>308</v>
      </c>
      <c r="X46" s="7"/>
      <c r="Y46" s="7"/>
      <c r="Z46" s="7">
        <v>2005</v>
      </c>
      <c r="AA46" s="7">
        <v>2020</v>
      </c>
    </row>
    <row r="47" spans="1:27" x14ac:dyDescent="0.25">
      <c r="A47" t="s">
        <v>82</v>
      </c>
      <c r="B47" t="s">
        <v>60</v>
      </c>
      <c r="C47" s="19" t="s">
        <v>60</v>
      </c>
      <c r="D47" s="19" t="s">
        <v>60</v>
      </c>
      <c r="E47" s="7" t="s">
        <v>400</v>
      </c>
      <c r="F47" s="15">
        <v>45444</v>
      </c>
      <c r="G47" s="15">
        <v>45473</v>
      </c>
      <c r="H47" s="7">
        <v>1.38</v>
      </c>
      <c r="I47" s="8"/>
      <c r="J47" s="8"/>
      <c r="K47" s="9">
        <v>44621</v>
      </c>
      <c r="L47" s="7" t="s">
        <v>124</v>
      </c>
      <c r="M47" s="8"/>
      <c r="N47" s="8" t="s">
        <v>199</v>
      </c>
      <c r="O47" s="8" t="s">
        <v>265</v>
      </c>
      <c r="P47" s="8"/>
      <c r="Q47" s="8"/>
      <c r="R47" s="8"/>
      <c r="S47" s="6"/>
      <c r="T47" s="6"/>
      <c r="U47" s="7" t="s">
        <v>305</v>
      </c>
      <c r="V47" s="7"/>
      <c r="W47" s="7" t="s">
        <v>308</v>
      </c>
      <c r="X47" s="7"/>
      <c r="Y47" s="7"/>
      <c r="Z47" s="7">
        <v>2005</v>
      </c>
      <c r="AA47" s="7">
        <v>2020</v>
      </c>
    </row>
    <row r="48" spans="1:27" x14ac:dyDescent="0.25">
      <c r="A48" t="s">
        <v>21</v>
      </c>
      <c r="B48" t="s">
        <v>60</v>
      </c>
      <c r="C48" s="19" t="s">
        <v>60</v>
      </c>
      <c r="D48" s="19" t="s">
        <v>60</v>
      </c>
      <c r="E48" s="7" t="s">
        <v>400</v>
      </c>
      <c r="F48" s="15">
        <v>45444</v>
      </c>
      <c r="G48" s="15">
        <v>45473</v>
      </c>
      <c r="H48" s="7">
        <v>8.8800000000000008</v>
      </c>
      <c r="I48" s="8"/>
      <c r="J48" s="8"/>
      <c r="K48" s="9">
        <v>44805</v>
      </c>
      <c r="L48" s="7" t="s">
        <v>124</v>
      </c>
      <c r="M48" s="8"/>
      <c r="N48" s="8" t="s">
        <v>201</v>
      </c>
      <c r="O48" s="8" t="s">
        <v>264</v>
      </c>
      <c r="P48" s="8"/>
      <c r="Q48" s="8"/>
      <c r="R48" s="8"/>
      <c r="S48" s="6"/>
      <c r="T48" s="6"/>
      <c r="U48" s="7" t="s">
        <v>305</v>
      </c>
      <c r="V48" s="7"/>
      <c r="W48" s="7" t="s">
        <v>308</v>
      </c>
      <c r="X48" s="7"/>
      <c r="Y48" s="7"/>
      <c r="Z48" s="7">
        <v>2005</v>
      </c>
      <c r="AA48" s="7">
        <v>2020</v>
      </c>
    </row>
    <row r="49" spans="1:27" x14ac:dyDescent="0.25">
      <c r="A49" t="s">
        <v>22</v>
      </c>
      <c r="B49" t="s">
        <v>60</v>
      </c>
      <c r="C49" s="19" t="s">
        <v>59</v>
      </c>
      <c r="D49" s="19" t="s">
        <v>60</v>
      </c>
      <c r="E49" s="7" t="s">
        <v>400</v>
      </c>
      <c r="F49" s="15">
        <v>45444</v>
      </c>
      <c r="G49" s="15">
        <v>45473</v>
      </c>
      <c r="H49" s="7">
        <v>9.6</v>
      </c>
      <c r="I49" s="8"/>
      <c r="J49" s="8"/>
      <c r="K49" s="9">
        <v>44682</v>
      </c>
      <c r="L49" s="7" t="s">
        <v>124</v>
      </c>
      <c r="M49" s="8"/>
      <c r="N49" s="8" t="s">
        <v>200</v>
      </c>
      <c r="O49" s="8" t="s">
        <v>254</v>
      </c>
      <c r="P49" s="8"/>
      <c r="Q49" s="8"/>
      <c r="R49" s="8"/>
      <c r="S49" s="6"/>
      <c r="T49" s="6"/>
      <c r="U49" s="7" t="s">
        <v>305</v>
      </c>
      <c r="V49" s="7"/>
      <c r="W49" s="7" t="s">
        <v>308</v>
      </c>
      <c r="X49" s="7"/>
      <c r="Y49" s="7"/>
      <c r="Z49" s="7">
        <v>2005</v>
      </c>
      <c r="AA49" s="7">
        <v>2020</v>
      </c>
    </row>
    <row r="50" spans="1:27" x14ac:dyDescent="0.25">
      <c r="A50" t="s">
        <v>23</v>
      </c>
      <c r="B50" t="s">
        <v>60</v>
      </c>
      <c r="C50" s="19" t="s">
        <v>60</v>
      </c>
      <c r="D50" s="19" t="s">
        <v>60</v>
      </c>
      <c r="E50" s="7" t="s">
        <v>400</v>
      </c>
      <c r="F50" s="15">
        <v>45444</v>
      </c>
      <c r="G50" s="15">
        <v>45473</v>
      </c>
      <c r="H50" s="7">
        <v>0</v>
      </c>
      <c r="I50" s="8"/>
      <c r="J50" s="8"/>
      <c r="K50" s="9">
        <v>44652</v>
      </c>
      <c r="L50" s="7" t="s">
        <v>124</v>
      </c>
      <c r="M50" s="8"/>
      <c r="N50" s="8"/>
      <c r="O50" s="8" t="s">
        <v>248</v>
      </c>
      <c r="P50" s="8"/>
      <c r="Q50" s="8"/>
      <c r="R50" s="8"/>
      <c r="S50" s="6"/>
      <c r="T50" s="6"/>
      <c r="U50" s="7" t="s">
        <v>305</v>
      </c>
      <c r="V50" s="7"/>
      <c r="W50" s="7" t="s">
        <v>308</v>
      </c>
      <c r="X50" s="7"/>
      <c r="Y50" s="7"/>
      <c r="Z50" s="7">
        <v>2005</v>
      </c>
      <c r="AA50" s="7">
        <v>2020</v>
      </c>
    </row>
    <row r="51" spans="1:27" x14ac:dyDescent="0.25">
      <c r="A51" t="s">
        <v>24</v>
      </c>
      <c r="B51" t="s">
        <v>60</v>
      </c>
      <c r="C51" s="19" t="s">
        <v>60</v>
      </c>
      <c r="D51" s="19" t="s">
        <v>60</v>
      </c>
      <c r="E51" s="7" t="s">
        <v>400</v>
      </c>
      <c r="F51" s="15">
        <v>45444</v>
      </c>
      <c r="G51" s="15">
        <v>45473</v>
      </c>
      <c r="H51" s="7">
        <v>6.72</v>
      </c>
      <c r="I51" s="8"/>
      <c r="J51" s="8" t="s">
        <v>285</v>
      </c>
      <c r="K51" s="9">
        <v>44531</v>
      </c>
      <c r="L51" s="7" t="s">
        <v>124</v>
      </c>
      <c r="M51" s="8"/>
      <c r="N51" s="8" t="s">
        <v>188</v>
      </c>
      <c r="O51" s="8" t="s">
        <v>260</v>
      </c>
      <c r="P51" s="8"/>
      <c r="Q51" s="8"/>
      <c r="R51" s="8"/>
      <c r="S51" s="6"/>
      <c r="T51" s="6"/>
      <c r="U51" s="7" t="s">
        <v>305</v>
      </c>
      <c r="V51" s="7"/>
      <c r="W51" s="7" t="s">
        <v>308</v>
      </c>
      <c r="X51" s="7"/>
      <c r="Y51" s="7"/>
      <c r="Z51" s="7">
        <v>2005</v>
      </c>
      <c r="AA51" s="7">
        <v>2020</v>
      </c>
    </row>
    <row r="52" spans="1:27" x14ac:dyDescent="0.25">
      <c r="A52" t="s">
        <v>83</v>
      </c>
      <c r="B52" t="s">
        <v>60</v>
      </c>
      <c r="C52" s="19" t="s">
        <v>60</v>
      </c>
      <c r="D52" s="19" t="s">
        <v>60</v>
      </c>
      <c r="E52" s="7" t="s">
        <v>400</v>
      </c>
      <c r="F52" s="15">
        <v>45444</v>
      </c>
      <c r="G52" s="15">
        <v>45473</v>
      </c>
      <c r="H52" s="7">
        <v>20</v>
      </c>
      <c r="I52" s="8"/>
      <c r="J52" s="8"/>
      <c r="K52" s="9">
        <v>44621</v>
      </c>
      <c r="L52" s="7" t="s">
        <v>124</v>
      </c>
      <c r="M52" s="8"/>
      <c r="N52" s="8" t="s">
        <v>192</v>
      </c>
      <c r="O52" s="8" t="s">
        <v>248</v>
      </c>
      <c r="P52" s="8"/>
      <c r="Q52" s="8"/>
      <c r="R52" s="8"/>
      <c r="S52" s="6"/>
      <c r="T52" s="6"/>
      <c r="U52" s="7" t="s">
        <v>305</v>
      </c>
      <c r="V52" s="7"/>
      <c r="W52" s="7" t="s">
        <v>308</v>
      </c>
      <c r="X52" s="7"/>
      <c r="Y52" s="7"/>
      <c r="Z52" s="7">
        <v>2005</v>
      </c>
      <c r="AA52" s="7">
        <v>2020</v>
      </c>
    </row>
    <row r="53" spans="1:27" x14ac:dyDescent="0.25">
      <c r="A53" t="s">
        <v>25</v>
      </c>
      <c r="B53" t="s">
        <v>60</v>
      </c>
      <c r="C53" s="19" t="s">
        <v>60</v>
      </c>
      <c r="D53" s="19" t="s">
        <v>60</v>
      </c>
      <c r="E53" s="7" t="s">
        <v>400</v>
      </c>
      <c r="F53" s="15">
        <v>45444</v>
      </c>
      <c r="G53" s="15">
        <v>45473</v>
      </c>
      <c r="H53" s="7">
        <v>7.2</v>
      </c>
      <c r="I53" s="8"/>
      <c r="J53" s="8"/>
      <c r="K53" s="9">
        <v>42736</v>
      </c>
      <c r="L53" s="7" t="s">
        <v>124</v>
      </c>
      <c r="M53" s="8"/>
      <c r="N53" s="8" t="s">
        <v>205</v>
      </c>
      <c r="O53" s="8" t="s">
        <v>266</v>
      </c>
      <c r="P53" s="8"/>
      <c r="Q53" s="8"/>
      <c r="R53" s="8"/>
      <c r="S53" s="6"/>
      <c r="T53" s="6"/>
      <c r="U53" s="7" t="s">
        <v>305</v>
      </c>
      <c r="V53" s="7"/>
      <c r="W53" s="7" t="s">
        <v>308</v>
      </c>
      <c r="X53" s="7"/>
      <c r="Y53" s="7"/>
      <c r="Z53" s="7">
        <v>2005</v>
      </c>
      <c r="AA53" s="7">
        <v>2020</v>
      </c>
    </row>
    <row r="54" spans="1:27" x14ac:dyDescent="0.25">
      <c r="A54" t="s">
        <v>84</v>
      </c>
      <c r="B54" t="s">
        <v>60</v>
      </c>
      <c r="C54" s="19" t="s">
        <v>60</v>
      </c>
      <c r="D54" s="19" t="s">
        <v>60</v>
      </c>
      <c r="E54" s="7" t="s">
        <v>400</v>
      </c>
      <c r="F54" s="15">
        <v>45444</v>
      </c>
      <c r="G54" s="15">
        <v>45473</v>
      </c>
      <c r="H54" s="7">
        <v>3.36</v>
      </c>
      <c r="I54" s="8"/>
      <c r="J54" s="8"/>
      <c r="K54" s="9">
        <v>44501</v>
      </c>
      <c r="L54" s="7" t="s">
        <v>124</v>
      </c>
      <c r="M54" s="8"/>
      <c r="N54" s="8" t="s">
        <v>187</v>
      </c>
      <c r="O54" s="8" t="s">
        <v>267</v>
      </c>
      <c r="P54" s="8"/>
      <c r="Q54" s="8"/>
      <c r="R54" s="8"/>
      <c r="S54" s="6"/>
      <c r="T54" s="6"/>
      <c r="U54" s="7" t="s">
        <v>305</v>
      </c>
      <c r="V54" s="7"/>
      <c r="W54" s="7" t="s">
        <v>308</v>
      </c>
      <c r="X54" s="7"/>
      <c r="Y54" s="7"/>
      <c r="Z54" s="7">
        <v>2005</v>
      </c>
      <c r="AA54" s="7">
        <v>2020</v>
      </c>
    </row>
    <row r="55" spans="1:27" x14ac:dyDescent="0.25">
      <c r="A55" t="s">
        <v>26</v>
      </c>
      <c r="B55" t="s">
        <v>60</v>
      </c>
      <c r="C55" s="19" t="s">
        <v>60</v>
      </c>
      <c r="D55" s="19" t="s">
        <v>60</v>
      </c>
      <c r="E55" s="7" t="s">
        <v>400</v>
      </c>
      <c r="F55" s="15">
        <v>45444</v>
      </c>
      <c r="G55" s="15">
        <v>45473</v>
      </c>
      <c r="H55" s="7">
        <v>0</v>
      </c>
      <c r="I55" s="8"/>
      <c r="J55" s="8"/>
      <c r="K55" s="9">
        <v>43040</v>
      </c>
      <c r="L55" s="7" t="s">
        <v>124</v>
      </c>
      <c r="M55" s="8"/>
      <c r="N55" s="16"/>
      <c r="O55" s="8" t="s">
        <v>267</v>
      </c>
      <c r="P55" s="8"/>
      <c r="Q55" s="8"/>
      <c r="R55" s="8"/>
      <c r="S55" s="6"/>
      <c r="T55" s="6"/>
      <c r="U55" s="7" t="s">
        <v>305</v>
      </c>
      <c r="V55" s="7"/>
      <c r="W55" s="7" t="s">
        <v>308</v>
      </c>
      <c r="X55" s="7"/>
      <c r="Y55" s="7"/>
      <c r="Z55" s="7">
        <v>2005</v>
      </c>
      <c r="AA55" s="7">
        <v>2020</v>
      </c>
    </row>
    <row r="56" spans="1:27" x14ac:dyDescent="0.25">
      <c r="A56" t="s">
        <v>85</v>
      </c>
      <c r="B56" t="s">
        <v>60</v>
      </c>
      <c r="C56" s="19" t="s">
        <v>60</v>
      </c>
      <c r="D56" s="19" t="s">
        <v>60</v>
      </c>
      <c r="E56" s="7" t="s">
        <v>400</v>
      </c>
      <c r="F56" s="15">
        <v>45444</v>
      </c>
      <c r="G56" s="15">
        <v>45473</v>
      </c>
      <c r="H56" s="7">
        <v>70</v>
      </c>
      <c r="I56" s="8"/>
      <c r="J56" s="8"/>
      <c r="K56" s="9">
        <v>44927</v>
      </c>
      <c r="L56" s="7" t="s">
        <v>124</v>
      </c>
      <c r="M56" s="8"/>
      <c r="N56" s="8" t="s">
        <v>206</v>
      </c>
      <c r="O56" s="8" t="s">
        <v>268</v>
      </c>
      <c r="P56" s="8"/>
      <c r="Q56" s="8"/>
      <c r="R56" s="8"/>
      <c r="S56" s="6"/>
      <c r="T56" s="6"/>
      <c r="U56" s="7" t="s">
        <v>305</v>
      </c>
      <c r="V56" s="7"/>
      <c r="W56" s="7" t="s">
        <v>308</v>
      </c>
      <c r="X56" s="7"/>
      <c r="Y56" s="7"/>
      <c r="Z56" s="7">
        <v>2005</v>
      </c>
      <c r="AA56" s="7">
        <v>2020</v>
      </c>
    </row>
    <row r="57" spans="1:27" x14ac:dyDescent="0.25">
      <c r="A57" t="s">
        <v>86</v>
      </c>
      <c r="B57" t="s">
        <v>60</v>
      </c>
      <c r="C57" s="19" t="s">
        <v>60</v>
      </c>
      <c r="D57" s="19" t="s">
        <v>60</v>
      </c>
      <c r="E57" s="7" t="s">
        <v>400</v>
      </c>
      <c r="F57" s="15">
        <v>45444</v>
      </c>
      <c r="G57" s="15">
        <v>45473</v>
      </c>
      <c r="H57" s="7">
        <v>2.04</v>
      </c>
      <c r="I57" s="8"/>
      <c r="J57" s="8"/>
      <c r="K57" s="9">
        <v>44621</v>
      </c>
      <c r="L57" s="7" t="s">
        <v>124</v>
      </c>
      <c r="M57" s="8"/>
      <c r="N57" s="8" t="s">
        <v>209</v>
      </c>
      <c r="O57" s="8" t="s">
        <v>265</v>
      </c>
      <c r="P57" s="8"/>
      <c r="Q57" s="8"/>
      <c r="R57" s="8"/>
      <c r="S57" s="6"/>
      <c r="T57" s="6"/>
      <c r="U57" s="7" t="s">
        <v>305</v>
      </c>
      <c r="V57" s="7"/>
      <c r="W57" s="7" t="s">
        <v>308</v>
      </c>
      <c r="X57" s="7"/>
      <c r="Y57" s="7"/>
      <c r="Z57" s="7">
        <v>2005</v>
      </c>
      <c r="AA57" s="7">
        <v>2020</v>
      </c>
    </row>
    <row r="58" spans="1:27" x14ac:dyDescent="0.25">
      <c r="A58" t="s">
        <v>27</v>
      </c>
      <c r="B58" t="s">
        <v>60</v>
      </c>
      <c r="C58" s="19" t="s">
        <v>60</v>
      </c>
      <c r="D58" s="19" t="s">
        <v>60</v>
      </c>
      <c r="E58" s="7" t="s">
        <v>400</v>
      </c>
      <c r="F58" s="15">
        <v>45444</v>
      </c>
      <c r="G58" s="15">
        <v>45473</v>
      </c>
      <c r="H58" s="7">
        <v>19.2</v>
      </c>
      <c r="I58" s="8"/>
      <c r="J58" s="8"/>
      <c r="K58" s="9">
        <v>45017</v>
      </c>
      <c r="L58" s="7" t="s">
        <v>124</v>
      </c>
      <c r="M58" s="8"/>
      <c r="N58" s="8" t="s">
        <v>207</v>
      </c>
      <c r="O58" s="8" t="s">
        <v>269</v>
      </c>
      <c r="P58" s="8"/>
      <c r="Q58" s="8"/>
      <c r="R58" s="8"/>
      <c r="S58" s="6"/>
      <c r="T58" s="6"/>
      <c r="U58" s="7" t="s">
        <v>305</v>
      </c>
      <c r="V58" s="7"/>
      <c r="W58" s="7" t="s">
        <v>308</v>
      </c>
      <c r="X58" s="7"/>
      <c r="Y58" s="7"/>
      <c r="Z58" s="7">
        <v>2005</v>
      </c>
      <c r="AA58" s="7">
        <v>2020</v>
      </c>
    </row>
    <row r="59" spans="1:27" x14ac:dyDescent="0.25">
      <c r="A59" t="s">
        <v>87</v>
      </c>
      <c r="B59" t="s">
        <v>60</v>
      </c>
      <c r="C59" s="19" t="s">
        <v>60</v>
      </c>
      <c r="D59" s="19" t="s">
        <v>60</v>
      </c>
      <c r="E59" s="7" t="s">
        <v>400</v>
      </c>
      <c r="F59" s="15">
        <v>45444</v>
      </c>
      <c r="G59" s="15">
        <v>45473</v>
      </c>
      <c r="H59" s="7">
        <v>9.6</v>
      </c>
      <c r="I59" s="8"/>
      <c r="J59" s="8"/>
      <c r="K59" s="9">
        <v>44256</v>
      </c>
      <c r="L59" s="7" t="s">
        <v>124</v>
      </c>
      <c r="M59" s="8"/>
      <c r="N59" s="8" t="s">
        <v>208</v>
      </c>
      <c r="O59" s="8" t="s">
        <v>270</v>
      </c>
      <c r="P59" s="8"/>
      <c r="Q59" s="8"/>
      <c r="R59" s="8"/>
      <c r="S59" s="6"/>
      <c r="T59" s="6"/>
      <c r="U59" s="7" t="s">
        <v>305</v>
      </c>
      <c r="V59" s="7"/>
      <c r="W59" s="7" t="s">
        <v>308</v>
      </c>
      <c r="X59" s="7"/>
      <c r="Y59" s="7"/>
      <c r="Z59" s="7">
        <v>2005</v>
      </c>
      <c r="AA59" s="7">
        <v>2020</v>
      </c>
    </row>
    <row r="60" spans="1:27" x14ac:dyDescent="0.25">
      <c r="A60" t="s">
        <v>88</v>
      </c>
      <c r="B60" t="s">
        <v>60</v>
      </c>
      <c r="C60" s="19" t="s">
        <v>60</v>
      </c>
      <c r="D60" s="19" t="s">
        <v>60</v>
      </c>
      <c r="E60" s="7" t="s">
        <v>400</v>
      </c>
      <c r="F60" s="15">
        <v>45444</v>
      </c>
      <c r="G60" s="15">
        <v>45473</v>
      </c>
      <c r="H60" s="7">
        <v>13.68</v>
      </c>
      <c r="I60" s="8"/>
      <c r="J60" s="8"/>
      <c r="K60" s="9">
        <v>43466</v>
      </c>
      <c r="L60" s="7" t="s">
        <v>124</v>
      </c>
      <c r="M60" s="8"/>
      <c r="N60" s="8" t="s">
        <v>211</v>
      </c>
      <c r="O60" s="8" t="s">
        <v>271</v>
      </c>
      <c r="P60" s="8"/>
      <c r="Q60" s="8"/>
      <c r="R60" s="8"/>
      <c r="S60" s="6"/>
      <c r="T60" s="6"/>
      <c r="U60" s="7" t="s">
        <v>305</v>
      </c>
      <c r="V60" s="7"/>
      <c r="W60" s="7" t="s">
        <v>308</v>
      </c>
      <c r="X60" s="7"/>
      <c r="Y60" s="7"/>
      <c r="Z60" s="7">
        <v>2005</v>
      </c>
      <c r="AA60" s="7">
        <v>2020</v>
      </c>
    </row>
    <row r="61" spans="1:27" x14ac:dyDescent="0.25">
      <c r="A61" t="s">
        <v>28</v>
      </c>
      <c r="B61" t="s">
        <v>60</v>
      </c>
      <c r="C61" s="19" t="s">
        <v>60</v>
      </c>
      <c r="D61" s="19" t="s">
        <v>60</v>
      </c>
      <c r="E61" s="7" t="s">
        <v>400</v>
      </c>
      <c r="F61" s="15">
        <v>45444</v>
      </c>
      <c r="G61" s="15">
        <v>45473</v>
      </c>
      <c r="H61" s="7">
        <v>0</v>
      </c>
      <c r="I61" s="8"/>
      <c r="J61" s="8"/>
      <c r="K61" s="9">
        <v>44986</v>
      </c>
      <c r="L61" s="7" t="s">
        <v>124</v>
      </c>
      <c r="M61" s="8"/>
      <c r="N61" s="8"/>
      <c r="O61" s="8" t="s">
        <v>259</v>
      </c>
      <c r="P61" s="8"/>
      <c r="Q61" s="8"/>
      <c r="R61" s="8"/>
      <c r="S61" s="6"/>
      <c r="T61" s="6"/>
      <c r="U61" s="7" t="s">
        <v>305</v>
      </c>
      <c r="V61" s="7"/>
      <c r="W61" s="7" t="s">
        <v>308</v>
      </c>
      <c r="X61" s="7"/>
      <c r="Y61" s="7"/>
      <c r="Z61" s="7">
        <v>2005</v>
      </c>
      <c r="AA61" s="7">
        <v>2020</v>
      </c>
    </row>
    <row r="62" spans="1:27" x14ac:dyDescent="0.25">
      <c r="A62" t="s">
        <v>29</v>
      </c>
      <c r="B62" t="s">
        <v>60</v>
      </c>
      <c r="C62" s="19" t="s">
        <v>60</v>
      </c>
      <c r="D62" s="19" t="s">
        <v>60</v>
      </c>
      <c r="E62" s="7" t="s">
        <v>400</v>
      </c>
      <c r="F62" s="15">
        <v>45444</v>
      </c>
      <c r="G62" s="15">
        <v>45473</v>
      </c>
      <c r="H62" s="7">
        <v>0</v>
      </c>
      <c r="I62" s="8"/>
      <c r="J62" s="8"/>
      <c r="K62" s="9">
        <v>43647</v>
      </c>
      <c r="L62" s="7" t="s">
        <v>124</v>
      </c>
      <c r="M62" s="8"/>
      <c r="N62" s="8"/>
      <c r="O62" s="8" t="s">
        <v>252</v>
      </c>
      <c r="P62" s="8"/>
      <c r="Q62" s="8"/>
      <c r="R62" s="8"/>
      <c r="S62" s="6"/>
      <c r="T62" s="6"/>
      <c r="U62" s="7" t="s">
        <v>305</v>
      </c>
      <c r="V62" s="7"/>
      <c r="W62" s="7" t="s">
        <v>308</v>
      </c>
      <c r="X62" s="7"/>
      <c r="Y62" s="7"/>
      <c r="Z62" s="7">
        <v>2005</v>
      </c>
      <c r="AA62" s="7">
        <v>2020</v>
      </c>
    </row>
    <row r="63" spans="1:27" x14ac:dyDescent="0.25">
      <c r="A63" t="s">
        <v>89</v>
      </c>
      <c r="B63" t="s">
        <v>60</v>
      </c>
      <c r="C63" s="19" t="s">
        <v>60</v>
      </c>
      <c r="D63" s="19" t="s">
        <v>60</v>
      </c>
      <c r="E63" s="7" t="s">
        <v>400</v>
      </c>
      <c r="F63" s="15">
        <v>45444</v>
      </c>
      <c r="G63" s="15">
        <v>45473</v>
      </c>
      <c r="H63" s="7">
        <v>4.8</v>
      </c>
      <c r="I63" s="8"/>
      <c r="J63" s="8"/>
      <c r="K63" s="9">
        <v>44866</v>
      </c>
      <c r="L63" s="7" t="s">
        <v>124</v>
      </c>
      <c r="M63" s="8"/>
      <c r="N63" s="8" t="s">
        <v>212</v>
      </c>
      <c r="O63" s="8" t="s">
        <v>260</v>
      </c>
      <c r="P63" s="8"/>
      <c r="Q63" s="8"/>
      <c r="R63" s="8"/>
      <c r="S63" s="6"/>
      <c r="T63" s="6"/>
      <c r="U63" s="7" t="s">
        <v>305</v>
      </c>
      <c r="V63" s="7"/>
      <c r="W63" s="7" t="s">
        <v>308</v>
      </c>
      <c r="X63" s="7"/>
      <c r="Y63" s="7"/>
      <c r="Z63" s="7">
        <v>2005</v>
      </c>
      <c r="AA63" s="7">
        <v>2020</v>
      </c>
    </row>
    <row r="64" spans="1:27" x14ac:dyDescent="0.25">
      <c r="A64" t="s">
        <v>227</v>
      </c>
      <c r="B64" t="s">
        <v>60</v>
      </c>
      <c r="C64" s="19" t="s">
        <v>60</v>
      </c>
      <c r="D64" s="19" t="s">
        <v>60</v>
      </c>
      <c r="E64" s="7" t="s">
        <v>400</v>
      </c>
      <c r="F64" s="15">
        <v>45444</v>
      </c>
      <c r="G64" s="15">
        <v>45473</v>
      </c>
      <c r="H64" s="7"/>
      <c r="I64" s="8"/>
      <c r="J64" s="8" t="s">
        <v>283</v>
      </c>
      <c r="K64" s="9">
        <v>45078</v>
      </c>
      <c r="L64" s="7" t="s">
        <v>124</v>
      </c>
      <c r="M64" s="8"/>
      <c r="N64" s="8"/>
      <c r="O64" s="8" t="s">
        <v>272</v>
      </c>
      <c r="P64" s="8"/>
      <c r="Q64" s="8"/>
      <c r="R64" s="8"/>
      <c r="S64" s="6"/>
      <c r="T64" s="6"/>
      <c r="U64" s="7" t="s">
        <v>305</v>
      </c>
      <c r="V64" s="7"/>
      <c r="W64" s="7" t="s">
        <v>308</v>
      </c>
      <c r="X64" s="7"/>
      <c r="Y64" s="7"/>
      <c r="Z64" s="7">
        <v>2005</v>
      </c>
      <c r="AA64" s="7">
        <v>2020</v>
      </c>
    </row>
    <row r="65" spans="1:27" x14ac:dyDescent="0.25">
      <c r="A65" t="s">
        <v>30</v>
      </c>
      <c r="B65" t="s">
        <v>60</v>
      </c>
      <c r="C65" s="19" t="s">
        <v>60</v>
      </c>
      <c r="D65" s="19" t="s">
        <v>60</v>
      </c>
      <c r="E65" s="7" t="s">
        <v>400</v>
      </c>
      <c r="F65" s="15">
        <v>45444</v>
      </c>
      <c r="G65" s="15">
        <v>45473</v>
      </c>
      <c r="H65" s="7">
        <v>1.68</v>
      </c>
      <c r="I65" s="8"/>
      <c r="J65" s="8"/>
      <c r="K65" s="9">
        <v>44652</v>
      </c>
      <c r="L65" s="7" t="s">
        <v>124</v>
      </c>
      <c r="M65" s="8"/>
      <c r="N65" s="8" t="s">
        <v>187</v>
      </c>
      <c r="O65" s="8" t="s">
        <v>273</v>
      </c>
      <c r="P65" s="8"/>
      <c r="Q65" s="8"/>
      <c r="R65" s="8"/>
      <c r="S65" s="6"/>
      <c r="T65" s="6"/>
      <c r="U65" s="7" t="s">
        <v>305</v>
      </c>
      <c r="V65" s="7"/>
      <c r="W65" s="7" t="s">
        <v>308</v>
      </c>
      <c r="X65" s="7"/>
      <c r="Y65" s="7"/>
      <c r="Z65" s="7">
        <v>2005</v>
      </c>
      <c r="AA65" s="7">
        <v>2020</v>
      </c>
    </row>
    <row r="66" spans="1:27" x14ac:dyDescent="0.25">
      <c r="A66" t="s">
        <v>90</v>
      </c>
      <c r="B66" t="s">
        <v>60</v>
      </c>
      <c r="C66" s="19" t="s">
        <v>60</v>
      </c>
      <c r="D66" s="19" t="s">
        <v>60</v>
      </c>
      <c r="E66" s="7" t="s">
        <v>400</v>
      </c>
      <c r="F66" s="15">
        <v>45444</v>
      </c>
      <c r="G66" s="15">
        <v>45473</v>
      </c>
      <c r="H66" s="7">
        <v>6.72</v>
      </c>
      <c r="I66" s="8"/>
      <c r="J66" s="8"/>
      <c r="K66" s="9">
        <v>43709</v>
      </c>
      <c r="L66" s="7" t="s">
        <v>124</v>
      </c>
      <c r="M66" s="8"/>
      <c r="N66" s="8" t="s">
        <v>188</v>
      </c>
      <c r="O66" s="8" t="s">
        <v>257</v>
      </c>
      <c r="P66" s="8"/>
      <c r="Q66" s="8"/>
      <c r="R66" s="8"/>
      <c r="S66" s="6"/>
      <c r="T66" s="6"/>
      <c r="U66" s="7" t="s">
        <v>305</v>
      </c>
      <c r="V66" s="7"/>
      <c r="W66" s="7" t="s">
        <v>308</v>
      </c>
      <c r="X66" s="7"/>
      <c r="Y66" s="7"/>
      <c r="Z66" s="7">
        <v>2005</v>
      </c>
      <c r="AA66" s="7">
        <v>2020</v>
      </c>
    </row>
    <row r="67" spans="1:27" x14ac:dyDescent="0.25">
      <c r="A67" t="s">
        <v>91</v>
      </c>
      <c r="B67" t="s">
        <v>60</v>
      </c>
      <c r="C67" s="19" t="s">
        <v>60</v>
      </c>
      <c r="D67" s="19" t="s">
        <v>60</v>
      </c>
      <c r="E67" s="7" t="s">
        <v>400</v>
      </c>
      <c r="F67" s="15">
        <v>45444</v>
      </c>
      <c r="G67" s="15">
        <v>45473</v>
      </c>
      <c r="H67" s="7">
        <v>4.8</v>
      </c>
      <c r="I67" s="8"/>
      <c r="J67" s="8"/>
      <c r="K67" s="9">
        <v>44866</v>
      </c>
      <c r="L67" s="7" t="s">
        <v>124</v>
      </c>
      <c r="M67" s="8"/>
      <c r="N67" s="8" t="s">
        <v>195</v>
      </c>
      <c r="O67" s="8" t="s">
        <v>249</v>
      </c>
      <c r="P67" s="8"/>
      <c r="Q67" s="8"/>
      <c r="R67" s="8"/>
      <c r="S67" s="6"/>
      <c r="T67" s="6"/>
      <c r="U67" s="7" t="s">
        <v>305</v>
      </c>
      <c r="V67" s="7"/>
      <c r="W67" s="7" t="s">
        <v>308</v>
      </c>
      <c r="X67" s="7"/>
      <c r="Y67" s="7"/>
      <c r="Z67" s="7">
        <v>2005</v>
      </c>
      <c r="AA67" s="7">
        <v>2020</v>
      </c>
    </row>
    <row r="68" spans="1:27" x14ac:dyDescent="0.25">
      <c r="A68" t="s">
        <v>31</v>
      </c>
      <c r="B68" t="s">
        <v>60</v>
      </c>
      <c r="C68" s="19" t="s">
        <v>60</v>
      </c>
      <c r="D68" s="19" t="s">
        <v>60</v>
      </c>
      <c r="E68" s="7" t="s">
        <v>400</v>
      </c>
      <c r="F68" s="15">
        <v>45444</v>
      </c>
      <c r="G68" s="15">
        <v>45473</v>
      </c>
      <c r="H68" s="7">
        <v>48</v>
      </c>
      <c r="I68" s="8"/>
      <c r="J68" s="8"/>
      <c r="K68" s="9">
        <v>44986</v>
      </c>
      <c r="L68" s="7" t="s">
        <v>124</v>
      </c>
      <c r="M68" s="8"/>
      <c r="N68" s="8" t="s">
        <v>213</v>
      </c>
      <c r="O68" s="8" t="s">
        <v>254</v>
      </c>
      <c r="P68" s="8"/>
      <c r="Q68" s="8"/>
      <c r="R68" s="8"/>
      <c r="S68" s="6"/>
      <c r="T68" s="6"/>
      <c r="U68" s="7" t="s">
        <v>305</v>
      </c>
      <c r="V68" s="7"/>
      <c r="W68" s="7" t="s">
        <v>308</v>
      </c>
      <c r="X68" s="7"/>
      <c r="Y68" s="7"/>
      <c r="Z68" s="7">
        <v>2005</v>
      </c>
      <c r="AA68" s="7">
        <v>2020</v>
      </c>
    </row>
    <row r="69" spans="1:27" x14ac:dyDescent="0.25">
      <c r="A69" t="s">
        <v>92</v>
      </c>
      <c r="B69" t="s">
        <v>60</v>
      </c>
      <c r="C69" s="19" t="s">
        <v>60</v>
      </c>
      <c r="D69" s="19" t="s">
        <v>60</v>
      </c>
      <c r="E69" s="7" t="s">
        <v>400</v>
      </c>
      <c r="F69" s="15">
        <v>45444</v>
      </c>
      <c r="G69" s="15">
        <v>45473</v>
      </c>
      <c r="H69" s="7">
        <v>3.36</v>
      </c>
      <c r="I69" s="8"/>
      <c r="J69" s="8"/>
      <c r="K69" s="9">
        <v>44866</v>
      </c>
      <c r="L69" s="7" t="s">
        <v>124</v>
      </c>
      <c r="M69" s="8"/>
      <c r="N69" s="8" t="s">
        <v>214</v>
      </c>
      <c r="O69" s="8" t="s">
        <v>272</v>
      </c>
      <c r="P69" s="8"/>
      <c r="Q69" s="8"/>
      <c r="R69" s="8">
        <v>1000</v>
      </c>
      <c r="S69" s="6" t="s">
        <v>306</v>
      </c>
      <c r="T69" s="6" t="s">
        <v>307</v>
      </c>
      <c r="U69" s="7" t="s">
        <v>305</v>
      </c>
      <c r="V69" s="7">
        <v>14</v>
      </c>
      <c r="W69" s="7" t="s">
        <v>309</v>
      </c>
      <c r="X69" s="7">
        <v>25</v>
      </c>
      <c r="Y69" s="7">
        <v>0</v>
      </c>
      <c r="Z69" s="7">
        <v>2005</v>
      </c>
      <c r="AA69" s="7">
        <v>2020</v>
      </c>
    </row>
    <row r="70" spans="1:27" x14ac:dyDescent="0.25">
      <c r="A70" t="s">
        <v>32</v>
      </c>
      <c r="B70" t="s">
        <v>60</v>
      </c>
      <c r="C70" s="19" t="s">
        <v>60</v>
      </c>
      <c r="D70" s="19" t="s">
        <v>60</v>
      </c>
      <c r="E70" s="7" t="s">
        <v>400</v>
      </c>
      <c r="F70" s="15">
        <v>45444</v>
      </c>
      <c r="G70" s="15">
        <v>45473</v>
      </c>
      <c r="H70" s="7">
        <v>4.08</v>
      </c>
      <c r="I70" s="8"/>
      <c r="J70" s="8"/>
      <c r="K70" s="9">
        <v>42339</v>
      </c>
      <c r="L70" s="7" t="s">
        <v>124</v>
      </c>
      <c r="M70" s="8"/>
      <c r="N70" s="8" t="s">
        <v>192</v>
      </c>
      <c r="O70" s="8" t="s">
        <v>264</v>
      </c>
      <c r="P70" s="8"/>
      <c r="Q70" s="8"/>
      <c r="R70" s="8"/>
      <c r="S70" s="6"/>
      <c r="T70" s="6"/>
      <c r="U70" s="7" t="s">
        <v>305</v>
      </c>
      <c r="V70" s="7"/>
      <c r="W70" s="7" t="s">
        <v>308</v>
      </c>
      <c r="X70" s="7"/>
      <c r="Y70" s="7"/>
      <c r="Z70" s="7">
        <v>2005</v>
      </c>
      <c r="AA70" s="7">
        <v>2020</v>
      </c>
    </row>
    <row r="71" spans="1:27" x14ac:dyDescent="0.25">
      <c r="A71" t="s">
        <v>33</v>
      </c>
      <c r="B71" t="s">
        <v>60</v>
      </c>
      <c r="C71" s="19" t="s">
        <v>60</v>
      </c>
      <c r="D71" s="19" t="s">
        <v>60</v>
      </c>
      <c r="E71" s="7" t="s">
        <v>400</v>
      </c>
      <c r="F71" s="15">
        <v>45444</v>
      </c>
      <c r="G71" s="15">
        <v>45473</v>
      </c>
      <c r="H71" s="7">
        <v>4.08</v>
      </c>
      <c r="I71" s="8"/>
      <c r="J71" s="8"/>
      <c r="K71" s="9">
        <v>42826</v>
      </c>
      <c r="L71" s="7" t="s">
        <v>124</v>
      </c>
      <c r="M71" s="8"/>
      <c r="N71" s="8" t="s">
        <v>192</v>
      </c>
      <c r="O71" s="8" t="s">
        <v>257</v>
      </c>
      <c r="P71" s="8"/>
      <c r="Q71" s="8"/>
      <c r="R71" s="8"/>
      <c r="S71" s="6"/>
      <c r="T71" s="6"/>
      <c r="U71" s="7" t="s">
        <v>305</v>
      </c>
      <c r="V71" s="7"/>
      <c r="W71" s="7" t="s">
        <v>308</v>
      </c>
      <c r="X71" s="7"/>
      <c r="Y71" s="7"/>
      <c r="Z71" s="7">
        <v>2005</v>
      </c>
      <c r="AA71" s="7">
        <v>2020</v>
      </c>
    </row>
    <row r="72" spans="1:27" x14ac:dyDescent="0.25">
      <c r="A72" t="s">
        <v>93</v>
      </c>
      <c r="B72" t="s">
        <v>60</v>
      </c>
      <c r="C72" s="19" t="s">
        <v>60</v>
      </c>
      <c r="D72" s="19" t="s">
        <v>60</v>
      </c>
      <c r="E72" s="7" t="s">
        <v>400</v>
      </c>
      <c r="F72" s="15">
        <v>45444</v>
      </c>
      <c r="G72" s="15">
        <v>45473</v>
      </c>
      <c r="H72" s="7">
        <v>3.36</v>
      </c>
      <c r="I72" s="8"/>
      <c r="J72" s="8"/>
      <c r="K72" s="9">
        <v>44562</v>
      </c>
      <c r="L72" s="7" t="s">
        <v>124</v>
      </c>
      <c r="M72" s="8"/>
      <c r="N72" s="8" t="s">
        <v>187</v>
      </c>
      <c r="O72" s="8" t="s">
        <v>249</v>
      </c>
      <c r="P72" s="8"/>
      <c r="Q72" s="8"/>
      <c r="R72" s="8"/>
      <c r="S72" s="6"/>
      <c r="T72" s="6"/>
      <c r="U72" s="7" t="s">
        <v>305</v>
      </c>
      <c r="V72" s="7"/>
      <c r="W72" s="7" t="s">
        <v>308</v>
      </c>
      <c r="X72" s="7"/>
      <c r="Y72" s="7"/>
      <c r="Z72" s="7">
        <v>2005</v>
      </c>
      <c r="AA72" s="7">
        <v>2020</v>
      </c>
    </row>
    <row r="73" spans="1:27" x14ac:dyDescent="0.25">
      <c r="A73" t="s">
        <v>228</v>
      </c>
      <c r="B73" t="s">
        <v>60</v>
      </c>
      <c r="C73" s="19" t="s">
        <v>60</v>
      </c>
      <c r="D73" s="19" t="s">
        <v>60</v>
      </c>
      <c r="E73" s="7" t="s">
        <v>400</v>
      </c>
      <c r="F73" s="15">
        <v>45444</v>
      </c>
      <c r="G73" s="15">
        <v>45473</v>
      </c>
      <c r="H73" s="7"/>
      <c r="I73" s="8"/>
      <c r="J73" s="8"/>
      <c r="K73" s="9">
        <v>44593</v>
      </c>
      <c r="L73" s="7" t="s">
        <v>124</v>
      </c>
      <c r="M73" s="8"/>
      <c r="N73" s="8" t="s">
        <v>212</v>
      </c>
      <c r="O73" s="8" t="s">
        <v>260</v>
      </c>
      <c r="P73" s="8"/>
      <c r="Q73" s="8"/>
      <c r="R73" s="8"/>
      <c r="S73" s="6"/>
      <c r="T73" s="6"/>
      <c r="U73" s="7" t="s">
        <v>305</v>
      </c>
      <c r="V73" s="7"/>
      <c r="W73" s="7" t="s">
        <v>308</v>
      </c>
      <c r="X73" s="7"/>
      <c r="Y73" s="7"/>
      <c r="Z73" s="7">
        <v>2005</v>
      </c>
      <c r="AA73" s="7">
        <v>2020</v>
      </c>
    </row>
    <row r="74" spans="1:27" x14ac:dyDescent="0.25">
      <c r="A74" t="s">
        <v>34</v>
      </c>
      <c r="B74" t="s">
        <v>60</v>
      </c>
      <c r="C74" s="19" t="s">
        <v>60</v>
      </c>
      <c r="D74" s="19" t="s">
        <v>60</v>
      </c>
      <c r="E74" s="7" t="s">
        <v>400</v>
      </c>
      <c r="F74" s="15">
        <v>45444</v>
      </c>
      <c r="G74" s="15">
        <v>45473</v>
      </c>
      <c r="H74" s="7">
        <v>4.8</v>
      </c>
      <c r="I74" s="8"/>
      <c r="J74" s="8"/>
      <c r="K74" s="9">
        <v>43709</v>
      </c>
      <c r="L74" s="7" t="s">
        <v>124</v>
      </c>
      <c r="M74" s="8"/>
      <c r="N74" s="8" t="s">
        <v>212</v>
      </c>
      <c r="O74" s="8" t="s">
        <v>260</v>
      </c>
      <c r="P74" s="8"/>
      <c r="Q74" s="8"/>
      <c r="R74" s="8"/>
      <c r="S74" s="6"/>
      <c r="T74" s="6"/>
      <c r="U74" s="7" t="s">
        <v>305</v>
      </c>
      <c r="V74" s="7"/>
      <c r="W74" s="7" t="s">
        <v>308</v>
      </c>
      <c r="X74" s="7"/>
      <c r="Y74" s="7"/>
      <c r="Z74" s="7">
        <v>2005</v>
      </c>
      <c r="AA74" s="7">
        <v>2020</v>
      </c>
    </row>
    <row r="75" spans="1:27" x14ac:dyDescent="0.25">
      <c r="A75" t="s">
        <v>35</v>
      </c>
      <c r="B75" t="s">
        <v>60</v>
      </c>
      <c r="C75" s="19" t="s">
        <v>60</v>
      </c>
      <c r="D75" s="19" t="s">
        <v>60</v>
      </c>
      <c r="E75" s="7" t="s">
        <v>400</v>
      </c>
      <c r="F75" s="15">
        <v>45444</v>
      </c>
      <c r="G75" s="15">
        <v>45473</v>
      </c>
      <c r="H75" s="7">
        <v>3.36</v>
      </c>
      <c r="I75" s="8"/>
      <c r="J75" s="8"/>
      <c r="K75" s="9">
        <v>45017</v>
      </c>
      <c r="L75" s="7" t="s">
        <v>124</v>
      </c>
      <c r="M75" s="8"/>
      <c r="N75" s="8" t="s">
        <v>199</v>
      </c>
      <c r="O75" s="8" t="s">
        <v>259</v>
      </c>
      <c r="P75" s="8"/>
      <c r="Q75" s="8"/>
      <c r="R75" s="8"/>
      <c r="S75" s="6"/>
      <c r="T75" s="6"/>
      <c r="U75" s="7" t="s">
        <v>305</v>
      </c>
      <c r="V75" s="7"/>
      <c r="W75" s="7" t="s">
        <v>308</v>
      </c>
      <c r="X75" s="7"/>
      <c r="Y75" s="7"/>
      <c r="Z75" s="7">
        <v>2005</v>
      </c>
      <c r="AA75" s="7">
        <v>2020</v>
      </c>
    </row>
    <row r="76" spans="1:27" x14ac:dyDescent="0.25">
      <c r="A76" t="s">
        <v>94</v>
      </c>
      <c r="B76" t="s">
        <v>60</v>
      </c>
      <c r="C76" s="19" t="s">
        <v>60</v>
      </c>
      <c r="D76" s="19" t="s">
        <v>60</v>
      </c>
      <c r="E76" s="7" t="s">
        <v>400</v>
      </c>
      <c r="F76" s="15">
        <v>45444</v>
      </c>
      <c r="G76" s="15">
        <v>45473</v>
      </c>
      <c r="H76" s="7">
        <v>9.6</v>
      </c>
      <c r="I76" s="8"/>
      <c r="J76" s="8"/>
      <c r="K76" s="9">
        <v>44652</v>
      </c>
      <c r="L76" s="7" t="s">
        <v>124</v>
      </c>
      <c r="M76" s="8"/>
      <c r="N76" s="8" t="s">
        <v>215</v>
      </c>
      <c r="O76" s="8" t="s">
        <v>264</v>
      </c>
      <c r="P76" s="8"/>
      <c r="Q76" s="8"/>
      <c r="R76" s="8"/>
      <c r="S76" s="6"/>
      <c r="T76" s="6"/>
      <c r="U76" s="7" t="s">
        <v>305</v>
      </c>
      <c r="V76" s="7"/>
      <c r="W76" s="7" t="s">
        <v>308</v>
      </c>
      <c r="X76" s="7"/>
      <c r="Y76" s="7"/>
      <c r="Z76" s="7">
        <v>2005</v>
      </c>
      <c r="AA76" s="7">
        <v>2020</v>
      </c>
    </row>
    <row r="77" spans="1:27" x14ac:dyDescent="0.25">
      <c r="A77" t="s">
        <v>36</v>
      </c>
      <c r="B77" t="s">
        <v>60</v>
      </c>
      <c r="C77" s="19" t="s">
        <v>60</v>
      </c>
      <c r="D77" s="19" t="s">
        <v>60</v>
      </c>
      <c r="E77" s="7" t="s">
        <v>400</v>
      </c>
      <c r="F77" s="15">
        <v>45444</v>
      </c>
      <c r="G77" s="15">
        <v>45473</v>
      </c>
      <c r="H77" s="7">
        <v>2.4</v>
      </c>
      <c r="I77" s="8"/>
      <c r="J77" s="8"/>
      <c r="K77" s="9">
        <v>43952</v>
      </c>
      <c r="L77" s="7" t="s">
        <v>124</v>
      </c>
      <c r="M77" s="8"/>
      <c r="N77" s="8" t="s">
        <v>216</v>
      </c>
      <c r="O77" s="8" t="s">
        <v>261</v>
      </c>
      <c r="P77" s="8"/>
      <c r="Q77" s="8"/>
      <c r="R77" s="8"/>
      <c r="S77" s="6"/>
      <c r="T77" s="6"/>
      <c r="U77" s="7" t="s">
        <v>305</v>
      </c>
      <c r="V77" s="7"/>
      <c r="W77" s="7" t="s">
        <v>308</v>
      </c>
      <c r="X77" s="7"/>
      <c r="Y77" s="7"/>
      <c r="Z77" s="7">
        <v>2005</v>
      </c>
      <c r="AA77" s="7">
        <v>2020</v>
      </c>
    </row>
    <row r="78" spans="1:27" x14ac:dyDescent="0.25">
      <c r="A78" t="s">
        <v>37</v>
      </c>
      <c r="B78" t="s">
        <v>60</v>
      </c>
      <c r="C78" s="19" t="s">
        <v>60</v>
      </c>
      <c r="D78" s="19" t="s">
        <v>60</v>
      </c>
      <c r="E78" s="7" t="s">
        <v>400</v>
      </c>
      <c r="F78" s="15">
        <v>45444</v>
      </c>
      <c r="G78" s="15">
        <v>45473</v>
      </c>
      <c r="H78" s="7">
        <v>4.8</v>
      </c>
      <c r="I78" s="8"/>
      <c r="J78" s="8"/>
      <c r="K78" s="9">
        <v>44866</v>
      </c>
      <c r="L78" s="7" t="s">
        <v>124</v>
      </c>
      <c r="M78" s="8"/>
      <c r="N78" s="8" t="s">
        <v>195</v>
      </c>
      <c r="O78" s="8" t="s">
        <v>252</v>
      </c>
      <c r="P78" s="8"/>
      <c r="Q78" s="8"/>
      <c r="R78" s="8"/>
      <c r="S78" s="6"/>
      <c r="T78" s="6"/>
      <c r="U78" s="7" t="s">
        <v>305</v>
      </c>
      <c r="V78" s="7"/>
      <c r="W78" s="7" t="s">
        <v>308</v>
      </c>
      <c r="X78" s="7"/>
      <c r="Y78" s="7"/>
      <c r="Z78" s="7">
        <v>2005</v>
      </c>
      <c r="AA78" s="7">
        <v>2020</v>
      </c>
    </row>
    <row r="79" spans="1:27" x14ac:dyDescent="0.25">
      <c r="A79" t="s">
        <v>38</v>
      </c>
      <c r="B79" t="s">
        <v>60</v>
      </c>
      <c r="C79" s="19" t="s">
        <v>60</v>
      </c>
      <c r="D79" s="19" t="s">
        <v>60</v>
      </c>
      <c r="E79" s="7" t="s">
        <v>400</v>
      </c>
      <c r="F79" s="15">
        <v>45444</v>
      </c>
      <c r="G79" s="15">
        <v>45473</v>
      </c>
      <c r="H79" s="7">
        <v>41</v>
      </c>
      <c r="I79" s="8"/>
      <c r="J79" s="8"/>
      <c r="K79" s="9">
        <v>44774</v>
      </c>
      <c r="L79" s="7" t="s">
        <v>124</v>
      </c>
      <c r="M79" s="8"/>
      <c r="N79" s="8" t="s">
        <v>217</v>
      </c>
      <c r="O79" s="8" t="s">
        <v>254</v>
      </c>
      <c r="P79" s="8"/>
      <c r="Q79" s="8"/>
      <c r="R79" s="8"/>
      <c r="S79" s="6" t="s">
        <v>322</v>
      </c>
      <c r="T79" s="6" t="s">
        <v>323</v>
      </c>
      <c r="U79" s="7" t="s">
        <v>305</v>
      </c>
      <c r="V79" s="7">
        <v>14</v>
      </c>
      <c r="W79" s="7" t="s">
        <v>309</v>
      </c>
      <c r="X79" s="7">
        <v>25</v>
      </c>
      <c r="Y79" s="7">
        <v>0</v>
      </c>
      <c r="Z79" s="7">
        <v>2005</v>
      </c>
      <c r="AA79" s="7">
        <v>2020</v>
      </c>
    </row>
    <row r="80" spans="1:27" s="19" customFormat="1" x14ac:dyDescent="0.25">
      <c r="A80" s="25" t="s">
        <v>229</v>
      </c>
      <c r="B80" t="s">
        <v>60</v>
      </c>
      <c r="C80" s="19" t="s">
        <v>60</v>
      </c>
      <c r="D80" s="19" t="s">
        <v>60</v>
      </c>
      <c r="E80" s="7" t="s">
        <v>400</v>
      </c>
      <c r="F80" s="15">
        <v>45444</v>
      </c>
      <c r="G80" s="15">
        <v>45473</v>
      </c>
      <c r="H80" s="20">
        <v>13.65</v>
      </c>
      <c r="I80" s="21">
        <v>30</v>
      </c>
      <c r="J80" s="21"/>
      <c r="K80" s="22">
        <v>44986</v>
      </c>
      <c r="L80" s="20" t="s">
        <v>124</v>
      </c>
      <c r="M80" s="21" t="s">
        <v>401</v>
      </c>
      <c r="N80" s="21" t="s">
        <v>364</v>
      </c>
      <c r="O80" s="21" t="s">
        <v>274</v>
      </c>
      <c r="P80" s="21" t="s">
        <v>402</v>
      </c>
      <c r="Q80" s="21" t="s">
        <v>403</v>
      </c>
      <c r="R80" s="21"/>
      <c r="S80" s="23" t="s">
        <v>405</v>
      </c>
      <c r="T80" s="23" t="s">
        <v>404</v>
      </c>
      <c r="U80" s="20" t="s">
        <v>305</v>
      </c>
      <c r="V80" s="20">
        <v>14</v>
      </c>
      <c r="W80" s="20" t="s">
        <v>308</v>
      </c>
      <c r="X80" s="20">
        <v>25</v>
      </c>
      <c r="Y80" s="20">
        <v>0</v>
      </c>
      <c r="Z80" s="20">
        <v>2005</v>
      </c>
      <c r="AA80" s="20">
        <v>2020</v>
      </c>
    </row>
    <row r="81" spans="1:27" x14ac:dyDescent="0.25">
      <c r="A81" t="s">
        <v>95</v>
      </c>
      <c r="B81" t="s">
        <v>60</v>
      </c>
      <c r="C81" s="19" t="s">
        <v>60</v>
      </c>
      <c r="D81" s="19" t="s">
        <v>60</v>
      </c>
      <c r="E81" s="7" t="s">
        <v>400</v>
      </c>
      <c r="F81" s="15">
        <v>45444</v>
      </c>
      <c r="G81" s="15">
        <v>45473</v>
      </c>
      <c r="H81" s="7">
        <v>12.24</v>
      </c>
      <c r="I81" s="8"/>
      <c r="J81" s="8"/>
      <c r="K81" s="9">
        <v>44531</v>
      </c>
      <c r="L81" s="7" t="s">
        <v>124</v>
      </c>
      <c r="M81" s="8"/>
      <c r="N81" s="8" t="s">
        <v>218</v>
      </c>
      <c r="O81" s="8" t="s">
        <v>249</v>
      </c>
      <c r="P81" s="8"/>
      <c r="Q81" s="8"/>
      <c r="R81" s="8"/>
      <c r="S81" s="6"/>
      <c r="T81" s="6"/>
      <c r="U81" s="7" t="s">
        <v>305</v>
      </c>
      <c r="V81" s="7"/>
      <c r="W81" s="7" t="s">
        <v>308</v>
      </c>
      <c r="X81" s="7"/>
      <c r="Y81" s="7"/>
      <c r="Z81" s="7">
        <v>2005</v>
      </c>
      <c r="AA81" s="7">
        <v>2020</v>
      </c>
    </row>
    <row r="82" spans="1:27" s="19" customFormat="1" x14ac:dyDescent="0.25">
      <c r="A82" s="25" t="s">
        <v>39</v>
      </c>
      <c r="B82" t="s">
        <v>60</v>
      </c>
      <c r="C82" s="19" t="s">
        <v>60</v>
      </c>
      <c r="D82" s="19" t="s">
        <v>60</v>
      </c>
      <c r="E82" s="7" t="s">
        <v>400</v>
      </c>
      <c r="F82" s="15">
        <v>45444</v>
      </c>
      <c r="G82" s="15">
        <v>45473</v>
      </c>
      <c r="H82" s="20">
        <v>9.6</v>
      </c>
      <c r="I82" s="21">
        <v>21</v>
      </c>
      <c r="J82" s="21"/>
      <c r="K82" s="22">
        <v>44958</v>
      </c>
      <c r="L82" s="20" t="s">
        <v>124</v>
      </c>
      <c r="M82" s="21" t="s">
        <v>416</v>
      </c>
      <c r="N82" s="21" t="s">
        <v>193</v>
      </c>
      <c r="O82" s="21" t="s">
        <v>275</v>
      </c>
      <c r="P82" s="21" t="s">
        <v>417</v>
      </c>
      <c r="Q82" s="21" t="s">
        <v>236</v>
      </c>
      <c r="R82" s="21">
        <v>1000</v>
      </c>
      <c r="S82" s="23" t="s">
        <v>324</v>
      </c>
      <c r="T82" s="23" t="s">
        <v>325</v>
      </c>
      <c r="U82" s="20" t="s">
        <v>305</v>
      </c>
      <c r="V82" s="20">
        <v>14</v>
      </c>
      <c r="W82" s="20" t="s">
        <v>309</v>
      </c>
      <c r="X82" s="20">
        <v>25</v>
      </c>
      <c r="Y82" s="20">
        <v>0</v>
      </c>
      <c r="Z82" s="20">
        <v>2005</v>
      </c>
      <c r="AA82" s="20">
        <v>2020</v>
      </c>
    </row>
    <row r="83" spans="1:27" s="19" customFormat="1" x14ac:dyDescent="0.25">
      <c r="A83" s="25" t="s">
        <v>40</v>
      </c>
      <c r="B83" t="s">
        <v>60</v>
      </c>
      <c r="C83" s="19" t="s">
        <v>60</v>
      </c>
      <c r="D83" s="19" t="s">
        <v>60</v>
      </c>
      <c r="E83" s="7" t="s">
        <v>400</v>
      </c>
      <c r="F83" s="15">
        <v>45444</v>
      </c>
      <c r="G83" s="15">
        <v>45473</v>
      </c>
      <c r="H83" s="20">
        <v>9.6</v>
      </c>
      <c r="I83" s="21">
        <v>32</v>
      </c>
      <c r="J83" s="21"/>
      <c r="K83" s="22">
        <v>44743</v>
      </c>
      <c r="L83" s="20" t="s">
        <v>124</v>
      </c>
      <c r="M83" s="21" t="s">
        <v>414</v>
      </c>
      <c r="N83" s="21" t="s">
        <v>365</v>
      </c>
      <c r="O83" s="21" t="s">
        <v>248</v>
      </c>
      <c r="P83" s="21" t="s">
        <v>415</v>
      </c>
      <c r="Q83" s="21" t="s">
        <v>244</v>
      </c>
      <c r="R83" s="21">
        <v>1000</v>
      </c>
      <c r="S83" s="23" t="s">
        <v>326</v>
      </c>
      <c r="T83" s="23" t="s">
        <v>327</v>
      </c>
      <c r="U83" s="20" t="s">
        <v>305</v>
      </c>
      <c r="V83" s="20">
        <v>14</v>
      </c>
      <c r="W83" s="20" t="s">
        <v>309</v>
      </c>
      <c r="X83" s="20">
        <v>25</v>
      </c>
      <c r="Y83" s="20">
        <v>0</v>
      </c>
      <c r="Z83" s="20">
        <v>2005</v>
      </c>
      <c r="AA83" s="20">
        <v>2020</v>
      </c>
    </row>
    <row r="84" spans="1:27" s="19" customFormat="1" x14ac:dyDescent="0.25">
      <c r="A84" s="25" t="s">
        <v>386</v>
      </c>
      <c r="B84" t="s">
        <v>60</v>
      </c>
      <c r="C84" s="19" t="s">
        <v>60</v>
      </c>
      <c r="D84" s="19" t="s">
        <v>60</v>
      </c>
      <c r="E84" s="7" t="s">
        <v>400</v>
      </c>
      <c r="F84" s="15">
        <v>45444</v>
      </c>
      <c r="G84" s="15">
        <v>45473</v>
      </c>
      <c r="H84" s="20">
        <v>13</v>
      </c>
      <c r="I84" s="21">
        <v>28</v>
      </c>
      <c r="J84" s="21" t="s">
        <v>387</v>
      </c>
      <c r="K84" s="22">
        <v>45141</v>
      </c>
      <c r="L84" s="20" t="s">
        <v>124</v>
      </c>
      <c r="M84" s="21" t="s">
        <v>418</v>
      </c>
      <c r="N84" s="21"/>
      <c r="O84" s="21" t="s">
        <v>388</v>
      </c>
      <c r="P84" s="21" t="s">
        <v>419</v>
      </c>
      <c r="Q84" s="21" t="s">
        <v>420</v>
      </c>
      <c r="R84" s="21">
        <v>1000</v>
      </c>
      <c r="S84" s="23" t="s">
        <v>408</v>
      </c>
      <c r="T84" s="23" t="s">
        <v>409</v>
      </c>
      <c r="U84" s="20" t="s">
        <v>305</v>
      </c>
      <c r="V84" s="20">
        <v>14</v>
      </c>
      <c r="W84" s="20" t="s">
        <v>309</v>
      </c>
      <c r="X84" s="20">
        <v>25</v>
      </c>
      <c r="Y84" s="20">
        <v>0</v>
      </c>
      <c r="Z84" s="20">
        <v>2005</v>
      </c>
      <c r="AA84" s="20">
        <v>2020</v>
      </c>
    </row>
    <row r="85" spans="1:27" s="19" customFormat="1" x14ac:dyDescent="0.25">
      <c r="A85" s="25" t="s">
        <v>41</v>
      </c>
      <c r="B85" t="s">
        <v>60</v>
      </c>
      <c r="C85" s="19" t="s">
        <v>60</v>
      </c>
      <c r="D85" s="19" t="s">
        <v>60</v>
      </c>
      <c r="E85" s="7" t="s">
        <v>336</v>
      </c>
      <c r="F85" s="15">
        <v>45444</v>
      </c>
      <c r="G85" s="15">
        <v>45473</v>
      </c>
      <c r="H85" s="20">
        <v>14.4</v>
      </c>
      <c r="I85" s="21">
        <v>4</v>
      </c>
      <c r="J85" s="21"/>
      <c r="K85" s="22">
        <v>44682</v>
      </c>
      <c r="L85" s="20" t="s">
        <v>124</v>
      </c>
      <c r="M85" s="21" t="s">
        <v>243</v>
      </c>
      <c r="N85" s="21" t="s">
        <v>366</v>
      </c>
      <c r="O85" s="21" t="s">
        <v>248</v>
      </c>
      <c r="P85" s="21" t="s">
        <v>356</v>
      </c>
      <c r="Q85" s="21" t="s">
        <v>245</v>
      </c>
      <c r="R85" s="21">
        <v>1000</v>
      </c>
      <c r="S85" s="23" t="s">
        <v>328</v>
      </c>
      <c r="T85" s="23" t="s">
        <v>329</v>
      </c>
      <c r="U85" s="20" t="s">
        <v>305</v>
      </c>
      <c r="V85" s="20">
        <v>14</v>
      </c>
      <c r="W85" s="20" t="s">
        <v>309</v>
      </c>
      <c r="X85" s="20">
        <v>25</v>
      </c>
      <c r="Y85" s="20">
        <v>0</v>
      </c>
      <c r="Z85" s="20">
        <v>2005</v>
      </c>
      <c r="AA85" s="20">
        <v>2020</v>
      </c>
    </row>
    <row r="86" spans="1:27" s="19" customFormat="1" x14ac:dyDescent="0.25">
      <c r="A86" s="25" t="s">
        <v>42</v>
      </c>
      <c r="B86" t="s">
        <v>60</v>
      </c>
      <c r="C86" s="19" t="s">
        <v>60</v>
      </c>
      <c r="D86" s="19" t="s">
        <v>60</v>
      </c>
      <c r="E86" s="7" t="s">
        <v>400</v>
      </c>
      <c r="F86" s="15">
        <v>45444</v>
      </c>
      <c r="G86" s="15">
        <v>45473</v>
      </c>
      <c r="H86" s="20">
        <v>4.8</v>
      </c>
      <c r="I86" s="21">
        <v>12</v>
      </c>
      <c r="J86" s="21"/>
      <c r="K86" s="22">
        <v>44682</v>
      </c>
      <c r="L86" s="20" t="s">
        <v>124</v>
      </c>
      <c r="M86" s="21" t="s">
        <v>237</v>
      </c>
      <c r="N86" s="21" t="s">
        <v>195</v>
      </c>
      <c r="O86" s="21" t="s">
        <v>252</v>
      </c>
      <c r="P86" s="21" t="s">
        <v>291</v>
      </c>
      <c r="Q86" s="21" t="s">
        <v>292</v>
      </c>
      <c r="R86" s="21">
        <v>1000</v>
      </c>
      <c r="S86" s="23" t="s">
        <v>330</v>
      </c>
      <c r="T86" s="23" t="s">
        <v>331</v>
      </c>
      <c r="U86" s="20" t="s">
        <v>305</v>
      </c>
      <c r="V86" s="20">
        <v>14</v>
      </c>
      <c r="W86" s="20" t="s">
        <v>309</v>
      </c>
      <c r="X86" s="20">
        <v>25</v>
      </c>
      <c r="Y86" s="20">
        <v>0</v>
      </c>
      <c r="Z86" s="20">
        <v>2005</v>
      </c>
      <c r="AA86" s="20">
        <v>2020</v>
      </c>
    </row>
    <row r="87" spans="1:27" s="19" customFormat="1" x14ac:dyDescent="0.25">
      <c r="A87" s="25" t="s">
        <v>230</v>
      </c>
      <c r="B87" t="s">
        <v>60</v>
      </c>
      <c r="C87" s="19" t="s">
        <v>60</v>
      </c>
      <c r="D87" s="19" t="s">
        <v>60</v>
      </c>
      <c r="E87" s="7" t="s">
        <v>400</v>
      </c>
      <c r="F87" s="15">
        <v>45444</v>
      </c>
      <c r="G87" s="15">
        <v>45473</v>
      </c>
      <c r="H87" s="20">
        <f>48*2*100/1000</f>
        <v>9.6</v>
      </c>
      <c r="I87" s="21">
        <v>8</v>
      </c>
      <c r="J87" s="21"/>
      <c r="K87" s="22">
        <v>45047</v>
      </c>
      <c r="L87" s="20" t="s">
        <v>124</v>
      </c>
      <c r="M87" s="21" t="s">
        <v>237</v>
      </c>
      <c r="N87" s="21" t="s">
        <v>193</v>
      </c>
      <c r="O87" s="21" t="s">
        <v>249</v>
      </c>
      <c r="P87" s="21" t="s">
        <v>238</v>
      </c>
      <c r="Q87" s="21" t="s">
        <v>239</v>
      </c>
      <c r="R87" s="21">
        <v>1000</v>
      </c>
      <c r="S87" s="23" t="s">
        <v>332</v>
      </c>
      <c r="T87" s="23" t="s">
        <v>333</v>
      </c>
      <c r="U87" s="20" t="s">
        <v>305</v>
      </c>
      <c r="V87" s="20">
        <v>14</v>
      </c>
      <c r="W87" s="20" t="s">
        <v>309</v>
      </c>
      <c r="X87" s="20">
        <v>25</v>
      </c>
      <c r="Y87" s="20">
        <v>0</v>
      </c>
      <c r="Z87" s="20">
        <v>2005</v>
      </c>
      <c r="AA87" s="20">
        <v>2020</v>
      </c>
    </row>
    <row r="88" spans="1:27" x14ac:dyDescent="0.25">
      <c r="A88" s="18" t="s">
        <v>231</v>
      </c>
      <c r="B88" t="s">
        <v>60</v>
      </c>
      <c r="C88" s="19" t="s">
        <v>60</v>
      </c>
      <c r="D88" s="19" t="s">
        <v>60</v>
      </c>
      <c r="E88" s="7" t="s">
        <v>400</v>
      </c>
      <c r="F88" s="15">
        <v>45444</v>
      </c>
      <c r="G88" s="15">
        <v>45473</v>
      </c>
      <c r="H88" s="7">
        <f>2*70*48/1000</f>
        <v>6.72</v>
      </c>
      <c r="I88" s="8">
        <v>24</v>
      </c>
      <c r="J88" s="8"/>
      <c r="K88" s="9">
        <v>44986</v>
      </c>
      <c r="L88" s="7" t="s">
        <v>124</v>
      </c>
      <c r="M88" s="8" t="s">
        <v>242</v>
      </c>
      <c r="N88" s="8" t="s">
        <v>357</v>
      </c>
      <c r="O88" s="8" t="s">
        <v>256</v>
      </c>
      <c r="P88" s="8" t="s">
        <v>240</v>
      </c>
      <c r="Q88" s="8" t="s">
        <v>241</v>
      </c>
      <c r="R88" s="8">
        <v>1000</v>
      </c>
      <c r="S88" s="6" t="s">
        <v>334</v>
      </c>
      <c r="T88" s="6" t="s">
        <v>335</v>
      </c>
      <c r="U88" s="7" t="s">
        <v>305</v>
      </c>
      <c r="V88" s="7">
        <v>14</v>
      </c>
      <c r="W88" s="7" t="s">
        <v>309</v>
      </c>
      <c r="X88" s="7">
        <v>25</v>
      </c>
      <c r="Y88" s="7">
        <v>0</v>
      </c>
      <c r="Z88" s="7">
        <v>2005</v>
      </c>
      <c r="AA88" s="7">
        <v>2020</v>
      </c>
    </row>
    <row r="89" spans="1:27" x14ac:dyDescent="0.25">
      <c r="A89" t="s">
        <v>96</v>
      </c>
      <c r="B89" t="s">
        <v>60</v>
      </c>
      <c r="C89" s="19" t="s">
        <v>60</v>
      </c>
      <c r="D89" s="19" t="s">
        <v>60</v>
      </c>
      <c r="E89" s="7" t="s">
        <v>400</v>
      </c>
      <c r="F89" s="15">
        <v>45444</v>
      </c>
      <c r="G89" s="15">
        <v>45473</v>
      </c>
      <c r="H89" s="7">
        <v>4.8</v>
      </c>
      <c r="I89" s="8"/>
      <c r="J89" s="8"/>
      <c r="K89" s="9">
        <v>44835</v>
      </c>
      <c r="L89" s="7" t="s">
        <v>124</v>
      </c>
      <c r="M89" s="8"/>
      <c r="N89" s="8" t="s">
        <v>195</v>
      </c>
      <c r="O89" s="8" t="s">
        <v>249</v>
      </c>
      <c r="P89" s="8"/>
      <c r="Q89" s="8"/>
      <c r="R89" s="8"/>
      <c r="S89" s="6"/>
      <c r="T89" s="6"/>
      <c r="U89" s="7" t="s">
        <v>305</v>
      </c>
      <c r="V89" s="7"/>
      <c r="W89" s="7" t="s">
        <v>308</v>
      </c>
      <c r="X89" s="7"/>
      <c r="Y89" s="7"/>
      <c r="Z89" s="7">
        <v>2005</v>
      </c>
      <c r="AA89" s="7">
        <v>2020</v>
      </c>
    </row>
    <row r="90" spans="1:27" x14ac:dyDescent="0.25">
      <c r="A90" t="s">
        <v>43</v>
      </c>
      <c r="B90" t="s">
        <v>60</v>
      </c>
      <c r="C90" s="19" t="s">
        <v>60</v>
      </c>
      <c r="D90" s="19" t="s">
        <v>60</v>
      </c>
      <c r="E90" s="7" t="s">
        <v>400</v>
      </c>
      <c r="F90" s="15">
        <v>45444</v>
      </c>
      <c r="G90" s="15">
        <v>45473</v>
      </c>
      <c r="H90" s="7">
        <v>3.36</v>
      </c>
      <c r="I90" s="8"/>
      <c r="J90" s="8"/>
      <c r="K90" s="9">
        <v>44562</v>
      </c>
      <c r="L90" s="7" t="s">
        <v>124</v>
      </c>
      <c r="M90" s="8"/>
      <c r="N90" s="8" t="s">
        <v>199</v>
      </c>
      <c r="O90" s="8" t="s">
        <v>259</v>
      </c>
      <c r="P90" s="8"/>
      <c r="Q90" s="8"/>
      <c r="R90" s="8"/>
      <c r="S90" s="6"/>
      <c r="T90" s="6"/>
      <c r="U90" s="7" t="s">
        <v>305</v>
      </c>
      <c r="V90" s="7"/>
      <c r="W90" s="7" t="s">
        <v>308</v>
      </c>
      <c r="X90" s="7"/>
      <c r="Y90" s="7"/>
      <c r="Z90" s="7">
        <v>2005</v>
      </c>
      <c r="AA90" s="7">
        <v>2020</v>
      </c>
    </row>
    <row r="91" spans="1:27" x14ac:dyDescent="0.25">
      <c r="A91" t="s">
        <v>44</v>
      </c>
      <c r="B91" t="s">
        <v>60</v>
      </c>
      <c r="C91" s="19" t="s">
        <v>60</v>
      </c>
      <c r="D91" s="19" t="s">
        <v>60</v>
      </c>
      <c r="E91" s="7" t="s">
        <v>400</v>
      </c>
      <c r="F91" s="15">
        <v>45444</v>
      </c>
      <c r="G91" s="15">
        <v>45473</v>
      </c>
      <c r="H91" s="7">
        <v>28.8</v>
      </c>
      <c r="I91" s="8"/>
      <c r="J91" s="8"/>
      <c r="K91" s="9">
        <v>44713</v>
      </c>
      <c r="L91" s="7" t="s">
        <v>124</v>
      </c>
      <c r="M91" s="8"/>
      <c r="N91" s="8" t="s">
        <v>219</v>
      </c>
      <c r="O91" s="8" t="s">
        <v>254</v>
      </c>
      <c r="P91" s="8"/>
      <c r="Q91" s="8"/>
      <c r="R91" s="8"/>
      <c r="S91" s="6"/>
      <c r="T91" s="6"/>
      <c r="U91" s="7" t="s">
        <v>305</v>
      </c>
      <c r="V91" s="7"/>
      <c r="W91" s="7" t="s">
        <v>308</v>
      </c>
      <c r="X91" s="7"/>
      <c r="Y91" s="7"/>
      <c r="Z91" s="7">
        <v>2005</v>
      </c>
      <c r="AA91" s="7">
        <v>2020</v>
      </c>
    </row>
    <row r="92" spans="1:27" x14ac:dyDescent="0.25">
      <c r="A92" t="s">
        <v>97</v>
      </c>
      <c r="B92" t="s">
        <v>60</v>
      </c>
      <c r="C92" s="19" t="s">
        <v>60</v>
      </c>
      <c r="D92" s="19" t="s">
        <v>60</v>
      </c>
      <c r="E92" s="7" t="s">
        <v>400</v>
      </c>
      <c r="F92" s="15">
        <v>45444</v>
      </c>
      <c r="G92" s="15">
        <v>45473</v>
      </c>
      <c r="H92" s="7">
        <v>0</v>
      </c>
      <c r="I92" s="8"/>
      <c r="J92" s="8"/>
      <c r="K92" s="9">
        <v>44927</v>
      </c>
      <c r="L92" s="7" t="s">
        <v>124</v>
      </c>
      <c r="M92" s="8"/>
      <c r="N92" s="8"/>
      <c r="O92" s="8" t="s">
        <v>276</v>
      </c>
      <c r="P92" s="8"/>
      <c r="Q92" s="8"/>
      <c r="R92" s="8"/>
      <c r="S92" s="6"/>
      <c r="T92" s="6"/>
      <c r="U92" s="7" t="s">
        <v>305</v>
      </c>
      <c r="V92" s="7"/>
      <c r="W92" s="7" t="s">
        <v>308</v>
      </c>
      <c r="X92" s="7"/>
      <c r="Y92" s="7"/>
      <c r="Z92" s="7">
        <v>2005</v>
      </c>
      <c r="AA92" s="7">
        <v>2020</v>
      </c>
    </row>
    <row r="93" spans="1:27" x14ac:dyDescent="0.25">
      <c r="A93" s="18" t="s">
        <v>98</v>
      </c>
      <c r="B93" t="s">
        <v>59</v>
      </c>
      <c r="C93" s="19" t="s">
        <v>60</v>
      </c>
      <c r="D93" s="19" t="s">
        <v>60</v>
      </c>
      <c r="E93" s="7" t="s">
        <v>336</v>
      </c>
      <c r="F93" s="15">
        <v>45383</v>
      </c>
      <c r="G93" s="15">
        <v>45473</v>
      </c>
      <c r="H93" s="7">
        <v>4.8</v>
      </c>
      <c r="I93" s="8"/>
      <c r="J93" s="8"/>
      <c r="K93" s="9">
        <v>44958</v>
      </c>
      <c r="L93" s="7" t="s">
        <v>124</v>
      </c>
      <c r="M93" s="8"/>
      <c r="N93" s="8" t="s">
        <v>195</v>
      </c>
      <c r="O93" s="8" t="s">
        <v>263</v>
      </c>
      <c r="P93" s="8"/>
      <c r="Q93" s="8"/>
      <c r="R93" s="8"/>
      <c r="S93" s="6" t="s">
        <v>444</v>
      </c>
      <c r="T93" s="6" t="s">
        <v>445</v>
      </c>
      <c r="U93" s="7" t="s">
        <v>305</v>
      </c>
      <c r="V93" s="7">
        <v>14</v>
      </c>
      <c r="W93" s="7" t="s">
        <v>308</v>
      </c>
      <c r="X93" s="7">
        <v>25</v>
      </c>
      <c r="Y93" s="7">
        <v>0</v>
      </c>
      <c r="Z93" s="7">
        <v>2005</v>
      </c>
      <c r="AA93" s="7">
        <v>2020</v>
      </c>
    </row>
    <row r="94" spans="1:27" x14ac:dyDescent="0.25">
      <c r="A94" t="s">
        <v>99</v>
      </c>
      <c r="B94" t="s">
        <v>60</v>
      </c>
      <c r="C94" s="19" t="s">
        <v>60</v>
      </c>
      <c r="D94" s="19" t="s">
        <v>60</v>
      </c>
      <c r="E94" s="7" t="s">
        <v>400</v>
      </c>
      <c r="F94" s="15">
        <v>45444</v>
      </c>
      <c r="G94" s="15">
        <v>45473</v>
      </c>
      <c r="H94" s="7">
        <v>3.36</v>
      </c>
      <c r="I94" s="8"/>
      <c r="J94" s="8"/>
      <c r="K94" s="9">
        <v>44621</v>
      </c>
      <c r="L94" s="7" t="s">
        <v>124</v>
      </c>
      <c r="M94" s="8"/>
      <c r="N94" s="8" t="s">
        <v>187</v>
      </c>
      <c r="O94" s="8" t="s">
        <v>249</v>
      </c>
      <c r="P94" s="8"/>
      <c r="Q94" s="8"/>
      <c r="R94" s="8"/>
      <c r="S94" s="6"/>
      <c r="T94" s="6"/>
      <c r="U94" s="7" t="s">
        <v>305</v>
      </c>
      <c r="V94" s="7"/>
      <c r="W94" s="7" t="s">
        <v>308</v>
      </c>
      <c r="X94" s="7"/>
      <c r="Y94" s="7"/>
      <c r="Z94" s="7">
        <v>2005</v>
      </c>
      <c r="AA94" s="7">
        <v>2020</v>
      </c>
    </row>
    <row r="95" spans="1:27" x14ac:dyDescent="0.25">
      <c r="A95" t="s">
        <v>45</v>
      </c>
      <c r="B95" t="s">
        <v>60</v>
      </c>
      <c r="C95" s="19" t="s">
        <v>60</v>
      </c>
      <c r="D95" s="19" t="s">
        <v>60</v>
      </c>
      <c r="E95" s="7" t="s">
        <v>400</v>
      </c>
      <c r="F95" s="15">
        <v>45444</v>
      </c>
      <c r="G95" s="15">
        <v>45473</v>
      </c>
      <c r="H95" s="7">
        <v>6</v>
      </c>
      <c r="I95" s="8"/>
      <c r="J95" s="8"/>
      <c r="K95" s="9">
        <v>44652</v>
      </c>
      <c r="L95" s="7" t="s">
        <v>124</v>
      </c>
      <c r="M95" s="8"/>
      <c r="N95" s="8"/>
      <c r="O95" s="8" t="s">
        <v>249</v>
      </c>
      <c r="P95" s="8"/>
      <c r="Q95" s="8"/>
      <c r="R95" s="8"/>
      <c r="S95" s="6"/>
      <c r="T95" s="6"/>
      <c r="U95" s="7" t="s">
        <v>305</v>
      </c>
      <c r="V95" s="7"/>
      <c r="W95" s="7" t="s">
        <v>308</v>
      </c>
      <c r="X95" s="7"/>
      <c r="Y95" s="7"/>
      <c r="Z95" s="7">
        <v>2005</v>
      </c>
      <c r="AA95" s="7">
        <v>2020</v>
      </c>
    </row>
    <row r="96" spans="1:27" x14ac:dyDescent="0.25">
      <c r="A96" t="s">
        <v>46</v>
      </c>
      <c r="B96" t="s">
        <v>60</v>
      </c>
      <c r="C96" s="19" t="s">
        <v>60</v>
      </c>
      <c r="D96" s="19" t="s">
        <v>60</v>
      </c>
      <c r="E96" s="7" t="s">
        <v>400</v>
      </c>
      <c r="F96" s="15">
        <v>45444</v>
      </c>
      <c r="G96" s="15">
        <v>45473</v>
      </c>
      <c r="H96" s="7">
        <v>9.6</v>
      </c>
      <c r="I96" s="8"/>
      <c r="J96" s="8"/>
      <c r="K96" s="9">
        <v>44896</v>
      </c>
      <c r="L96" s="7" t="s">
        <v>124</v>
      </c>
      <c r="M96" s="8"/>
      <c r="N96" s="8" t="s">
        <v>193</v>
      </c>
      <c r="O96" s="8" t="s">
        <v>277</v>
      </c>
      <c r="P96" s="8"/>
      <c r="Q96" s="8"/>
      <c r="R96" s="8" t="s">
        <v>413</v>
      </c>
      <c r="S96" s="6"/>
      <c r="T96" s="6"/>
      <c r="U96" s="7" t="s">
        <v>305</v>
      </c>
      <c r="V96" s="7"/>
      <c r="W96" s="7" t="s">
        <v>308</v>
      </c>
      <c r="X96" s="7"/>
      <c r="Y96" s="7"/>
      <c r="Z96" s="7">
        <v>2005</v>
      </c>
      <c r="AA96" s="7">
        <v>2020</v>
      </c>
    </row>
    <row r="97" spans="1:27" x14ac:dyDescent="0.25">
      <c r="A97" t="s">
        <v>47</v>
      </c>
      <c r="B97" t="s">
        <v>60</v>
      </c>
      <c r="C97" s="19" t="s">
        <v>60</v>
      </c>
      <c r="D97" s="19" t="s">
        <v>60</v>
      </c>
      <c r="E97" s="7" t="s">
        <v>400</v>
      </c>
      <c r="F97" s="15">
        <v>45444</v>
      </c>
      <c r="G97" s="15">
        <v>45473</v>
      </c>
      <c r="H97" s="7">
        <v>28.8</v>
      </c>
      <c r="I97" s="8"/>
      <c r="J97" s="8" t="s">
        <v>247</v>
      </c>
      <c r="K97" s="9">
        <v>44927</v>
      </c>
      <c r="L97" s="7" t="s">
        <v>124</v>
      </c>
      <c r="M97" s="8"/>
      <c r="N97" s="8"/>
      <c r="O97" s="8"/>
      <c r="P97" s="8"/>
      <c r="Q97" s="8"/>
      <c r="R97" s="8"/>
      <c r="S97" s="6"/>
      <c r="T97" s="6"/>
      <c r="U97" s="7" t="s">
        <v>305</v>
      </c>
      <c r="V97" s="7"/>
      <c r="W97" s="7" t="s">
        <v>308</v>
      </c>
      <c r="X97" s="7"/>
      <c r="Y97" s="7"/>
      <c r="Z97" s="7">
        <v>2005</v>
      </c>
      <c r="AA97" s="7">
        <v>2020</v>
      </c>
    </row>
    <row r="98" spans="1:27" x14ac:dyDescent="0.25">
      <c r="A98" t="s">
        <v>100</v>
      </c>
      <c r="B98" t="s">
        <v>60</v>
      </c>
      <c r="C98" s="19" t="s">
        <v>60</v>
      </c>
      <c r="D98" s="19" t="s">
        <v>60</v>
      </c>
      <c r="E98" s="7" t="s">
        <v>400</v>
      </c>
      <c r="F98" s="15">
        <v>45444</v>
      </c>
      <c r="G98" s="15">
        <v>45473</v>
      </c>
      <c r="H98" s="7">
        <v>4.08</v>
      </c>
      <c r="I98" s="8"/>
      <c r="J98" s="8"/>
      <c r="K98" s="9">
        <v>42217</v>
      </c>
      <c r="L98" s="7" t="s">
        <v>124</v>
      </c>
      <c r="M98" s="8"/>
      <c r="N98" s="8" t="s">
        <v>220</v>
      </c>
      <c r="O98" s="8" t="s">
        <v>261</v>
      </c>
      <c r="P98" s="8"/>
      <c r="Q98" s="8"/>
      <c r="R98" s="8"/>
      <c r="S98" s="6"/>
      <c r="T98" s="6"/>
      <c r="U98" s="7" t="s">
        <v>305</v>
      </c>
      <c r="V98" s="7"/>
      <c r="W98" s="7" t="s">
        <v>308</v>
      </c>
      <c r="X98" s="7"/>
      <c r="Y98" s="7"/>
      <c r="Z98" s="7">
        <v>2005</v>
      </c>
      <c r="AA98" s="7">
        <v>2020</v>
      </c>
    </row>
    <row r="99" spans="1:27" x14ac:dyDescent="0.25">
      <c r="A99" s="18" t="s">
        <v>48</v>
      </c>
      <c r="B99" t="s">
        <v>59</v>
      </c>
      <c r="C99" s="19" t="s">
        <v>60</v>
      </c>
      <c r="D99" s="19" t="s">
        <v>60</v>
      </c>
      <c r="E99" s="7" t="s">
        <v>336</v>
      </c>
      <c r="F99" s="15">
        <v>45383</v>
      </c>
      <c r="G99" s="15">
        <v>45473</v>
      </c>
      <c r="H99" s="7">
        <v>1.2</v>
      </c>
      <c r="I99" s="8">
        <v>4</v>
      </c>
      <c r="J99" s="8"/>
      <c r="K99" s="9">
        <v>44530</v>
      </c>
      <c r="L99" s="7" t="s">
        <v>124</v>
      </c>
      <c r="M99" s="8" t="s">
        <v>437</v>
      </c>
      <c r="N99" s="8" t="s">
        <v>196</v>
      </c>
      <c r="O99" s="8" t="s">
        <v>271</v>
      </c>
      <c r="P99" s="8"/>
      <c r="Q99" s="8"/>
      <c r="R99" s="8"/>
      <c r="S99" s="6" t="s">
        <v>442</v>
      </c>
      <c r="T99" s="6" t="s">
        <v>443</v>
      </c>
      <c r="U99" s="7" t="s">
        <v>305</v>
      </c>
      <c r="V99" s="7">
        <v>14</v>
      </c>
      <c r="W99" s="7" t="s">
        <v>308</v>
      </c>
      <c r="X99" s="7">
        <v>25</v>
      </c>
      <c r="Y99" s="7">
        <v>0</v>
      </c>
      <c r="Z99" s="7">
        <v>2005</v>
      </c>
      <c r="AA99" s="7">
        <v>2020</v>
      </c>
    </row>
    <row r="100" spans="1:27" x14ac:dyDescent="0.25">
      <c r="A100" t="s">
        <v>101</v>
      </c>
      <c r="B100" t="s">
        <v>60</v>
      </c>
      <c r="C100" s="19" t="s">
        <v>60</v>
      </c>
      <c r="D100" s="19" t="s">
        <v>60</v>
      </c>
      <c r="E100" s="7" t="s">
        <v>400</v>
      </c>
      <c r="F100" s="15">
        <v>45444</v>
      </c>
      <c r="G100" s="15">
        <v>45473</v>
      </c>
      <c r="H100" s="7">
        <v>10.199999999999999</v>
      </c>
      <c r="I100" s="8"/>
      <c r="J100" s="8"/>
      <c r="K100" s="9">
        <v>44896</v>
      </c>
      <c r="L100" s="7" t="s">
        <v>124</v>
      </c>
      <c r="M100" s="8"/>
      <c r="N100" s="8"/>
      <c r="O100" s="8" t="s">
        <v>248</v>
      </c>
      <c r="P100" s="8"/>
      <c r="Q100" s="8"/>
      <c r="R100" s="8"/>
      <c r="S100" s="6"/>
      <c r="T100" s="6"/>
      <c r="U100" s="7" t="s">
        <v>305</v>
      </c>
      <c r="V100" s="7"/>
      <c r="W100" s="7" t="s">
        <v>308</v>
      </c>
      <c r="X100" s="7"/>
      <c r="Y100" s="7"/>
      <c r="Z100" s="7">
        <v>2005</v>
      </c>
      <c r="AA100" s="7">
        <v>2020</v>
      </c>
    </row>
    <row r="101" spans="1:27" s="19" customFormat="1" x14ac:dyDescent="0.25">
      <c r="A101" s="25" t="s">
        <v>359</v>
      </c>
      <c r="B101" t="s">
        <v>60</v>
      </c>
      <c r="C101" s="19" t="s">
        <v>60</v>
      </c>
      <c r="D101" s="19" t="s">
        <v>60</v>
      </c>
      <c r="E101" s="7" t="s">
        <v>400</v>
      </c>
      <c r="F101" s="15">
        <v>45444</v>
      </c>
      <c r="G101" s="15">
        <v>45473</v>
      </c>
      <c r="H101" s="20">
        <v>11.5</v>
      </c>
      <c r="I101" s="21">
        <v>56</v>
      </c>
      <c r="J101" s="21"/>
      <c r="K101" s="22">
        <v>45133</v>
      </c>
      <c r="L101" s="20" t="s">
        <v>124</v>
      </c>
      <c r="M101" s="21" t="s">
        <v>362</v>
      </c>
      <c r="N101" s="21" t="s">
        <v>361</v>
      </c>
      <c r="O101" s="21" t="s">
        <v>368</v>
      </c>
      <c r="P101" s="21" t="s">
        <v>363</v>
      </c>
      <c r="Q101" s="21">
        <v>30</v>
      </c>
      <c r="R101" s="21">
        <v>530</v>
      </c>
      <c r="S101" s="23" t="s">
        <v>374</v>
      </c>
      <c r="T101" s="23" t="s">
        <v>375</v>
      </c>
      <c r="U101" s="20" t="s">
        <v>305</v>
      </c>
      <c r="V101" s="20"/>
      <c r="W101" s="20" t="s">
        <v>308</v>
      </c>
      <c r="X101" s="20"/>
      <c r="Y101" s="20"/>
      <c r="Z101" s="20">
        <v>2005</v>
      </c>
      <c r="AA101" s="20">
        <v>2020</v>
      </c>
    </row>
    <row r="102" spans="1:27" x14ac:dyDescent="0.25">
      <c r="A102" t="s">
        <v>49</v>
      </c>
      <c r="B102" t="s">
        <v>60</v>
      </c>
      <c r="C102" s="19" t="s">
        <v>60</v>
      </c>
      <c r="D102" s="19" t="s">
        <v>60</v>
      </c>
      <c r="E102" s="7" t="s">
        <v>400</v>
      </c>
      <c r="F102" s="15">
        <v>45444</v>
      </c>
      <c r="G102" s="15">
        <v>45473</v>
      </c>
      <c r="H102" s="7">
        <v>4.8</v>
      </c>
      <c r="I102" s="8"/>
      <c r="J102" s="8"/>
      <c r="K102" s="9">
        <v>44958</v>
      </c>
      <c r="L102" s="7" t="s">
        <v>124</v>
      </c>
      <c r="M102" s="8"/>
      <c r="N102" s="8" t="s">
        <v>195</v>
      </c>
      <c r="O102" s="8" t="s">
        <v>249</v>
      </c>
      <c r="P102" s="8"/>
      <c r="Q102" s="8"/>
      <c r="R102" s="8"/>
      <c r="S102" s="6"/>
      <c r="T102" s="6"/>
      <c r="U102" s="7" t="s">
        <v>305</v>
      </c>
      <c r="V102" s="7"/>
      <c r="W102" s="7" t="s">
        <v>308</v>
      </c>
      <c r="X102" s="7"/>
      <c r="Y102" s="7"/>
      <c r="Z102" s="7">
        <v>2005</v>
      </c>
      <c r="AA102" s="7">
        <v>2020</v>
      </c>
    </row>
    <row r="103" spans="1:27" x14ac:dyDescent="0.25">
      <c r="A103" t="s">
        <v>232</v>
      </c>
      <c r="B103" t="s">
        <v>60</v>
      </c>
      <c r="C103" s="19" t="s">
        <v>60</v>
      </c>
      <c r="D103" s="19" t="s">
        <v>60</v>
      </c>
      <c r="E103" s="7" t="s">
        <v>400</v>
      </c>
      <c r="F103" s="15">
        <v>45444</v>
      </c>
      <c r="G103" s="15">
        <v>45473</v>
      </c>
      <c r="H103" s="7"/>
      <c r="I103" s="8"/>
      <c r="J103" s="8"/>
      <c r="K103" s="9"/>
      <c r="L103" s="7" t="s">
        <v>124</v>
      </c>
      <c r="M103" s="8"/>
      <c r="N103" s="8"/>
      <c r="O103" s="8" t="s">
        <v>249</v>
      </c>
      <c r="P103" s="8"/>
      <c r="Q103" s="8"/>
      <c r="R103" s="8"/>
      <c r="S103" s="6"/>
      <c r="T103" s="6"/>
      <c r="U103" s="7" t="s">
        <v>305</v>
      </c>
      <c r="V103" s="7"/>
      <c r="W103" s="7" t="s">
        <v>308</v>
      </c>
      <c r="X103" s="7"/>
      <c r="Y103" s="7"/>
      <c r="Z103" s="7">
        <v>2005</v>
      </c>
      <c r="AA103" s="7">
        <v>2020</v>
      </c>
    </row>
    <row r="104" spans="1:27" x14ac:dyDescent="0.25">
      <c r="A104" t="s">
        <v>50</v>
      </c>
      <c r="B104" t="s">
        <v>60</v>
      </c>
      <c r="C104" s="19" t="s">
        <v>60</v>
      </c>
      <c r="D104" s="19" t="s">
        <v>60</v>
      </c>
      <c r="E104" s="7" t="s">
        <v>400</v>
      </c>
      <c r="F104" s="15">
        <v>45444</v>
      </c>
      <c r="G104" s="15">
        <v>45473</v>
      </c>
      <c r="H104" s="7">
        <v>41.04</v>
      </c>
      <c r="I104" s="8"/>
      <c r="J104" s="8"/>
      <c r="K104" s="9">
        <v>44927</v>
      </c>
      <c r="L104" s="7" t="s">
        <v>124</v>
      </c>
      <c r="M104" s="8"/>
      <c r="N104" s="8"/>
      <c r="O104" s="8" t="s">
        <v>254</v>
      </c>
      <c r="P104" s="8"/>
      <c r="Q104" s="8"/>
      <c r="R104" s="8"/>
      <c r="S104" s="6"/>
      <c r="T104" s="6"/>
      <c r="U104" s="7" t="s">
        <v>305</v>
      </c>
      <c r="V104" s="7"/>
      <c r="W104" s="7" t="s">
        <v>308</v>
      </c>
      <c r="X104" s="7"/>
      <c r="Y104" s="7"/>
      <c r="Z104" s="7">
        <v>2005</v>
      </c>
      <c r="AA104" s="7">
        <v>2020</v>
      </c>
    </row>
    <row r="105" spans="1:27" x14ac:dyDescent="0.25">
      <c r="A105" t="s">
        <v>51</v>
      </c>
      <c r="B105" t="s">
        <v>60</v>
      </c>
      <c r="C105" s="19" t="s">
        <v>60</v>
      </c>
      <c r="D105" s="19" t="s">
        <v>60</v>
      </c>
      <c r="E105" s="7" t="s">
        <v>400</v>
      </c>
      <c r="F105" s="15">
        <v>45444</v>
      </c>
      <c r="G105" s="15">
        <v>45473</v>
      </c>
      <c r="H105" s="7">
        <v>1.68</v>
      </c>
      <c r="I105" s="8"/>
      <c r="J105" s="8"/>
      <c r="K105" s="9">
        <v>44774</v>
      </c>
      <c r="L105" s="7" t="s">
        <v>124</v>
      </c>
      <c r="M105" s="8"/>
      <c r="N105" s="8" t="s">
        <v>187</v>
      </c>
      <c r="O105" s="8" t="s">
        <v>276</v>
      </c>
      <c r="P105" s="8"/>
      <c r="Q105" s="8"/>
      <c r="R105" s="8"/>
      <c r="S105" s="6"/>
      <c r="T105" s="6"/>
      <c r="U105" s="7" t="s">
        <v>305</v>
      </c>
      <c r="V105" s="7"/>
      <c r="W105" s="7" t="s">
        <v>308</v>
      </c>
      <c r="X105" s="7"/>
      <c r="Y105" s="7"/>
      <c r="Z105" s="7">
        <v>2005</v>
      </c>
      <c r="AA105" s="7">
        <v>2020</v>
      </c>
    </row>
    <row r="106" spans="1:27" x14ac:dyDescent="0.25">
      <c r="A106" t="s">
        <v>52</v>
      </c>
      <c r="B106" t="s">
        <v>60</v>
      </c>
      <c r="C106" s="19" t="s">
        <v>60</v>
      </c>
      <c r="D106" s="19" t="s">
        <v>60</v>
      </c>
      <c r="E106" s="7" t="s">
        <v>400</v>
      </c>
      <c r="F106" s="15">
        <v>45444</v>
      </c>
      <c r="G106" s="15">
        <v>45473</v>
      </c>
      <c r="H106" s="7">
        <v>3.36</v>
      </c>
      <c r="I106" s="8"/>
      <c r="J106" s="8"/>
      <c r="K106" s="9">
        <v>44986</v>
      </c>
      <c r="L106" s="7" t="s">
        <v>124</v>
      </c>
      <c r="M106" s="8"/>
      <c r="N106" s="8" t="s">
        <v>199</v>
      </c>
      <c r="O106" s="8" t="s">
        <v>259</v>
      </c>
      <c r="P106" s="8"/>
      <c r="Q106" s="8"/>
      <c r="R106" s="8"/>
      <c r="S106" s="6"/>
      <c r="T106" s="6"/>
      <c r="U106" s="7" t="s">
        <v>305</v>
      </c>
      <c r="V106" s="7"/>
      <c r="W106" s="7" t="s">
        <v>308</v>
      </c>
      <c r="X106" s="7"/>
      <c r="Y106" s="7"/>
      <c r="Z106" s="7">
        <v>2005</v>
      </c>
      <c r="AA106" s="7">
        <v>2020</v>
      </c>
    </row>
    <row r="107" spans="1:27" x14ac:dyDescent="0.25">
      <c r="A107" t="s">
        <v>53</v>
      </c>
      <c r="B107" t="s">
        <v>60</v>
      </c>
      <c r="C107" s="19" t="s">
        <v>60</v>
      </c>
      <c r="D107" s="19" t="s">
        <v>60</v>
      </c>
      <c r="E107" s="7" t="s">
        <v>400</v>
      </c>
      <c r="F107" s="15">
        <v>45444</v>
      </c>
      <c r="G107" s="15">
        <v>45473</v>
      </c>
      <c r="H107" s="7">
        <v>3.36</v>
      </c>
      <c r="I107" s="8"/>
      <c r="J107" s="8"/>
      <c r="K107" s="9">
        <v>45017</v>
      </c>
      <c r="L107" s="7" t="s">
        <v>124</v>
      </c>
      <c r="M107" s="8"/>
      <c r="N107" s="8" t="s">
        <v>214</v>
      </c>
      <c r="O107" s="8" t="s">
        <v>278</v>
      </c>
      <c r="P107" s="8"/>
      <c r="Q107" s="8"/>
      <c r="R107" s="8"/>
      <c r="S107" s="6"/>
      <c r="T107" s="6"/>
      <c r="U107" s="7" t="s">
        <v>305</v>
      </c>
      <c r="V107" s="7"/>
      <c r="W107" s="7" t="s">
        <v>308</v>
      </c>
      <c r="X107" s="7"/>
      <c r="Y107" s="7"/>
      <c r="Z107" s="7">
        <v>2005</v>
      </c>
      <c r="AA107" s="7">
        <v>2020</v>
      </c>
    </row>
    <row r="108" spans="1:27" x14ac:dyDescent="0.25">
      <c r="A108" t="s">
        <v>112</v>
      </c>
      <c r="B108" t="s">
        <v>60</v>
      </c>
      <c r="C108" s="19" t="s">
        <v>60</v>
      </c>
      <c r="D108" s="19" t="s">
        <v>60</v>
      </c>
      <c r="E108" s="7" t="s">
        <v>400</v>
      </c>
      <c r="F108" s="15">
        <v>45444</v>
      </c>
      <c r="G108" s="15">
        <v>45473</v>
      </c>
      <c r="H108" s="7">
        <v>3.36</v>
      </c>
      <c r="I108" s="8"/>
      <c r="J108" s="8"/>
      <c r="K108" s="9">
        <v>44958</v>
      </c>
      <c r="L108" s="7" t="s">
        <v>124</v>
      </c>
      <c r="M108" s="8"/>
      <c r="N108" s="8" t="s">
        <v>199</v>
      </c>
      <c r="O108" s="8" t="s">
        <v>259</v>
      </c>
      <c r="P108" s="8"/>
      <c r="Q108" s="8"/>
      <c r="R108" s="8"/>
      <c r="S108" s="6"/>
      <c r="T108" s="6"/>
      <c r="U108" s="7" t="s">
        <v>305</v>
      </c>
      <c r="V108" s="7"/>
      <c r="W108" s="7" t="s">
        <v>308</v>
      </c>
      <c r="X108" s="7"/>
      <c r="Y108" s="7"/>
      <c r="Z108" s="7">
        <v>2005</v>
      </c>
      <c r="AA108" s="7">
        <v>2020</v>
      </c>
    </row>
    <row r="109" spans="1:27" x14ac:dyDescent="0.25">
      <c r="A109" t="s">
        <v>54</v>
      </c>
      <c r="B109" t="s">
        <v>60</v>
      </c>
      <c r="C109" s="19" t="s">
        <v>60</v>
      </c>
      <c r="D109" s="19" t="s">
        <v>60</v>
      </c>
      <c r="E109" s="7" t="s">
        <v>400</v>
      </c>
      <c r="F109" s="15">
        <v>45444</v>
      </c>
      <c r="G109" s="15">
        <v>45473</v>
      </c>
      <c r="H109" s="7">
        <v>3.36</v>
      </c>
      <c r="I109" s="8"/>
      <c r="J109" s="8"/>
      <c r="K109" s="9">
        <v>44958</v>
      </c>
      <c r="L109" s="7" t="s">
        <v>124</v>
      </c>
      <c r="M109" s="8"/>
      <c r="N109" s="8" t="s">
        <v>199</v>
      </c>
      <c r="O109" s="8" t="s">
        <v>259</v>
      </c>
      <c r="P109" s="8"/>
      <c r="Q109" s="8"/>
      <c r="R109" s="8"/>
      <c r="S109" s="6"/>
      <c r="T109" s="6"/>
      <c r="U109" s="7" t="s">
        <v>305</v>
      </c>
      <c r="V109" s="7"/>
      <c r="W109" s="7" t="s">
        <v>308</v>
      </c>
      <c r="X109" s="7"/>
      <c r="Y109" s="7"/>
      <c r="Z109" s="7">
        <v>2005</v>
      </c>
      <c r="AA109" s="7">
        <v>2020</v>
      </c>
    </row>
    <row r="110" spans="1:27" x14ac:dyDescent="0.25">
      <c r="A110" t="s">
        <v>233</v>
      </c>
      <c r="B110" t="s">
        <v>60</v>
      </c>
      <c r="C110" s="19" t="s">
        <v>60</v>
      </c>
      <c r="D110" s="19" t="s">
        <v>60</v>
      </c>
      <c r="E110" s="7" t="s">
        <v>400</v>
      </c>
      <c r="F110" s="15">
        <v>45444</v>
      </c>
      <c r="G110" s="15">
        <v>45473</v>
      </c>
      <c r="H110" s="7"/>
      <c r="I110" s="8"/>
      <c r="J110" s="8" t="s">
        <v>281</v>
      </c>
      <c r="K110" s="9">
        <v>45078</v>
      </c>
      <c r="L110" s="7" t="s">
        <v>124</v>
      </c>
      <c r="M110" s="8"/>
      <c r="N110" s="8" t="s">
        <v>282</v>
      </c>
      <c r="O110" s="8" t="s">
        <v>248</v>
      </c>
      <c r="P110" s="8"/>
      <c r="Q110" s="8"/>
      <c r="R110" s="8"/>
      <c r="S110" s="6"/>
      <c r="T110" s="6"/>
      <c r="U110" s="7" t="s">
        <v>305</v>
      </c>
      <c r="V110" s="7"/>
      <c r="W110" s="7" t="s">
        <v>308</v>
      </c>
      <c r="X110" s="7"/>
      <c r="Y110" s="7"/>
      <c r="Z110" s="7">
        <v>2005</v>
      </c>
      <c r="AA110" s="7">
        <v>2020</v>
      </c>
    </row>
    <row r="111" spans="1:27" x14ac:dyDescent="0.25">
      <c r="A111" t="s">
        <v>102</v>
      </c>
      <c r="B111" t="s">
        <v>60</v>
      </c>
      <c r="C111" s="19" t="s">
        <v>60</v>
      </c>
      <c r="D111" s="19" t="s">
        <v>60</v>
      </c>
      <c r="E111" s="7" t="s">
        <v>400</v>
      </c>
      <c r="F111" s="15">
        <v>45444</v>
      </c>
      <c r="G111" s="15">
        <v>45473</v>
      </c>
      <c r="H111" s="7">
        <v>10</v>
      </c>
      <c r="I111" s="8"/>
      <c r="J111" s="8"/>
      <c r="K111" s="9">
        <v>44743</v>
      </c>
      <c r="L111" s="7" t="s">
        <v>124</v>
      </c>
      <c r="M111" s="8"/>
      <c r="N111" s="8"/>
      <c r="O111" s="8" t="s">
        <v>274</v>
      </c>
      <c r="P111" s="8"/>
      <c r="Q111" s="8"/>
      <c r="R111" s="8"/>
      <c r="S111" s="6"/>
      <c r="T111" s="6"/>
      <c r="U111" s="7" t="s">
        <v>305</v>
      </c>
      <c r="V111" s="7"/>
      <c r="W111" s="7" t="s">
        <v>308</v>
      </c>
      <c r="X111" s="7"/>
      <c r="Y111" s="7"/>
      <c r="Z111" s="7">
        <v>2005</v>
      </c>
      <c r="AA111" s="7">
        <v>2020</v>
      </c>
    </row>
    <row r="112" spans="1:27" x14ac:dyDescent="0.25">
      <c r="A112" t="s">
        <v>55</v>
      </c>
      <c r="B112" t="s">
        <v>60</v>
      </c>
      <c r="C112" s="19" t="s">
        <v>60</v>
      </c>
      <c r="D112" s="19" t="s">
        <v>60</v>
      </c>
      <c r="E112" s="7" t="s">
        <v>400</v>
      </c>
      <c r="F112" s="15">
        <v>45444</v>
      </c>
      <c r="G112" s="15">
        <v>45473</v>
      </c>
      <c r="H112" s="7">
        <v>11</v>
      </c>
      <c r="I112" s="8"/>
      <c r="J112" s="8"/>
      <c r="K112" s="9">
        <v>44682</v>
      </c>
      <c r="L112" s="7" t="s">
        <v>124</v>
      </c>
      <c r="M112" s="8"/>
      <c r="N112" s="8"/>
      <c r="O112" s="8" t="s">
        <v>252</v>
      </c>
      <c r="P112" s="8"/>
      <c r="Q112" s="8"/>
      <c r="R112" s="8"/>
      <c r="S112" s="6"/>
      <c r="T112" s="6"/>
      <c r="U112" s="7" t="s">
        <v>305</v>
      </c>
      <c r="V112" s="7"/>
      <c r="W112" s="7" t="s">
        <v>308</v>
      </c>
      <c r="X112" s="7"/>
      <c r="Y112" s="7"/>
      <c r="Z112" s="7">
        <v>2005</v>
      </c>
      <c r="AA112" s="7">
        <v>2020</v>
      </c>
    </row>
    <row r="113" spans="1:27" x14ac:dyDescent="0.25">
      <c r="A113" t="s">
        <v>103</v>
      </c>
      <c r="B113" t="s">
        <v>60</v>
      </c>
      <c r="C113" s="19" t="s">
        <v>60</v>
      </c>
      <c r="D113" s="19" t="s">
        <v>60</v>
      </c>
      <c r="E113" s="7" t="s">
        <v>400</v>
      </c>
      <c r="F113" s="15">
        <v>45444</v>
      </c>
      <c r="G113" s="15">
        <v>45473</v>
      </c>
      <c r="H113" s="7">
        <v>14.4</v>
      </c>
      <c r="I113" s="8"/>
      <c r="J113" s="8"/>
      <c r="K113" s="9">
        <v>44713</v>
      </c>
      <c r="L113" s="7" t="s">
        <v>124</v>
      </c>
      <c r="M113" s="8"/>
      <c r="N113" s="8" t="s">
        <v>221</v>
      </c>
      <c r="O113" s="8" t="s">
        <v>412</v>
      </c>
      <c r="P113" s="8"/>
      <c r="Q113" s="8"/>
      <c r="R113" s="8"/>
      <c r="S113" s="6"/>
      <c r="T113" s="6"/>
      <c r="U113" s="7" t="s">
        <v>305</v>
      </c>
      <c r="V113" s="7"/>
      <c r="W113" s="7" t="s">
        <v>308</v>
      </c>
      <c r="X113" s="7"/>
      <c r="Y113" s="7"/>
      <c r="Z113" s="7">
        <v>2005</v>
      </c>
      <c r="AA113" s="7">
        <v>2020</v>
      </c>
    </row>
    <row r="114" spans="1:27" x14ac:dyDescent="0.25">
      <c r="A114" t="s">
        <v>104</v>
      </c>
      <c r="B114" t="s">
        <v>60</v>
      </c>
      <c r="C114" s="19" t="s">
        <v>60</v>
      </c>
      <c r="D114" s="19" t="s">
        <v>60</v>
      </c>
      <c r="E114" s="7" t="s">
        <v>400</v>
      </c>
      <c r="F114" s="15">
        <v>45444</v>
      </c>
      <c r="G114" s="15">
        <v>45473</v>
      </c>
      <c r="H114" s="7">
        <v>14.4</v>
      </c>
      <c r="I114" s="8"/>
      <c r="J114" s="8"/>
      <c r="K114" s="9">
        <v>44805</v>
      </c>
      <c r="L114" s="7" t="s">
        <v>124</v>
      </c>
      <c r="M114" s="8"/>
      <c r="N114" s="8" t="s">
        <v>205</v>
      </c>
      <c r="O114" s="8" t="s">
        <v>264</v>
      </c>
      <c r="P114" s="8"/>
      <c r="Q114" s="8"/>
      <c r="R114" s="8"/>
      <c r="S114" s="6"/>
      <c r="T114" s="6"/>
      <c r="U114" s="7" t="s">
        <v>305</v>
      </c>
      <c r="V114" s="7"/>
      <c r="W114" s="7" t="s">
        <v>308</v>
      </c>
      <c r="X114" s="7"/>
      <c r="Y114" s="7"/>
      <c r="Z114" s="7">
        <v>2005</v>
      </c>
      <c r="AA114" s="7">
        <v>2020</v>
      </c>
    </row>
    <row r="115" spans="1:27" x14ac:dyDescent="0.25">
      <c r="A115" t="s">
        <v>56</v>
      </c>
      <c r="B115" t="s">
        <v>60</v>
      </c>
      <c r="C115" s="19" t="s">
        <v>60</v>
      </c>
      <c r="D115" s="19" t="s">
        <v>60</v>
      </c>
      <c r="E115" s="7" t="s">
        <v>400</v>
      </c>
      <c r="F115" s="15">
        <v>45444</v>
      </c>
      <c r="G115" s="15">
        <v>45473</v>
      </c>
      <c r="H115" s="7">
        <v>0</v>
      </c>
      <c r="I115" s="8"/>
      <c r="J115" s="8" t="s">
        <v>280</v>
      </c>
      <c r="K115" s="9">
        <v>44805</v>
      </c>
      <c r="L115" s="7" t="s">
        <v>124</v>
      </c>
      <c r="M115" s="8"/>
      <c r="N115" s="8"/>
      <c r="O115" s="8" t="s">
        <v>249</v>
      </c>
      <c r="P115" s="8"/>
      <c r="Q115" s="8"/>
      <c r="R115" s="8"/>
      <c r="S115" s="6"/>
      <c r="T115" s="6"/>
      <c r="U115" s="7" t="s">
        <v>305</v>
      </c>
      <c r="V115" s="7"/>
      <c r="W115" s="7" t="s">
        <v>308</v>
      </c>
      <c r="X115" s="7"/>
      <c r="Y115" s="7"/>
      <c r="Z115" s="7">
        <v>2005</v>
      </c>
      <c r="AA115" s="7">
        <v>2020</v>
      </c>
    </row>
    <row r="116" spans="1:27" x14ac:dyDescent="0.25">
      <c r="A116" s="18" t="s">
        <v>384</v>
      </c>
      <c r="B116" t="s">
        <v>60</v>
      </c>
      <c r="C116" s="19" t="s">
        <v>60</v>
      </c>
      <c r="D116" s="19" t="s">
        <v>60</v>
      </c>
      <c r="E116" s="7" t="s">
        <v>400</v>
      </c>
      <c r="F116" s="15">
        <v>45444</v>
      </c>
      <c r="G116" s="15">
        <v>45473</v>
      </c>
      <c r="H116" s="7">
        <v>24</v>
      </c>
      <c r="I116" s="8"/>
      <c r="J116" s="8" t="s">
        <v>360</v>
      </c>
      <c r="K116" s="9">
        <v>45253</v>
      </c>
      <c r="L116" s="7" t="s">
        <v>124</v>
      </c>
      <c r="M116" s="8"/>
      <c r="N116" s="8"/>
      <c r="O116" s="8" t="s">
        <v>369</v>
      </c>
      <c r="P116" s="8"/>
      <c r="Q116" s="8"/>
      <c r="R116" s="8">
        <v>1000</v>
      </c>
      <c r="S116" s="6" t="s">
        <v>370</v>
      </c>
      <c r="T116" s="6" t="s">
        <v>371</v>
      </c>
      <c r="U116" s="7" t="s">
        <v>305</v>
      </c>
      <c r="V116" s="7"/>
      <c r="W116" s="7" t="s">
        <v>308</v>
      </c>
      <c r="X116" s="7"/>
      <c r="Y116" s="7"/>
      <c r="Z116" s="7">
        <v>2005</v>
      </c>
      <c r="AA116" s="7">
        <v>2020</v>
      </c>
    </row>
    <row r="117" spans="1:27" x14ac:dyDescent="0.25">
      <c r="A117" t="s">
        <v>57</v>
      </c>
      <c r="B117" t="s">
        <v>60</v>
      </c>
      <c r="C117" s="19" t="s">
        <v>60</v>
      </c>
      <c r="D117" s="19" t="s">
        <v>60</v>
      </c>
      <c r="E117" s="7" t="s">
        <v>400</v>
      </c>
      <c r="F117" s="15">
        <v>45444</v>
      </c>
      <c r="G117" s="15">
        <v>45473</v>
      </c>
      <c r="H117" s="7">
        <v>24.48</v>
      </c>
      <c r="I117" s="8"/>
      <c r="J117" s="8"/>
      <c r="K117" s="9">
        <v>44409</v>
      </c>
      <c r="L117" s="7" t="s">
        <v>124</v>
      </c>
      <c r="M117" s="8"/>
      <c r="N117" s="8" t="s">
        <v>222</v>
      </c>
      <c r="O117" s="8" t="s">
        <v>248</v>
      </c>
      <c r="P117" s="8"/>
      <c r="Q117" s="8"/>
      <c r="R117" s="8"/>
      <c r="S117" s="6"/>
      <c r="T117" s="6"/>
      <c r="U117" s="7" t="s">
        <v>305</v>
      </c>
      <c r="V117" s="7"/>
      <c r="W117" s="7" t="s">
        <v>308</v>
      </c>
      <c r="X117" s="7"/>
      <c r="Y117" s="7"/>
      <c r="Z117" s="7">
        <v>2005</v>
      </c>
      <c r="AA117" s="7">
        <v>2020</v>
      </c>
    </row>
    <row r="118" spans="1:27" x14ac:dyDescent="0.25">
      <c r="A118" t="s">
        <v>58</v>
      </c>
      <c r="B118" t="s">
        <v>60</v>
      </c>
      <c r="C118" s="19" t="s">
        <v>60</v>
      </c>
      <c r="D118" s="19" t="s">
        <v>60</v>
      </c>
      <c r="E118" s="7" t="s">
        <v>400</v>
      </c>
      <c r="F118" s="15">
        <v>45444</v>
      </c>
      <c r="G118" s="15">
        <v>45473</v>
      </c>
      <c r="H118" s="7">
        <v>4.8</v>
      </c>
      <c r="I118" s="8"/>
      <c r="J118" s="8"/>
      <c r="K118" s="9">
        <v>44805</v>
      </c>
      <c r="L118" s="7" t="s">
        <v>124</v>
      </c>
      <c r="M118" s="8"/>
      <c r="N118" s="8" t="s">
        <v>195</v>
      </c>
      <c r="O118" s="8" t="s">
        <v>249</v>
      </c>
      <c r="P118" s="8"/>
      <c r="Q118" s="8"/>
      <c r="R118" s="8"/>
      <c r="S118" s="6"/>
      <c r="T118" s="6"/>
      <c r="U118" s="7" t="s">
        <v>305</v>
      </c>
      <c r="V118" s="7"/>
      <c r="W118" s="7" t="s">
        <v>308</v>
      </c>
      <c r="X118" s="7"/>
      <c r="Y118" s="7"/>
      <c r="Z118" s="7">
        <v>2005</v>
      </c>
      <c r="AA118" s="7">
        <v>2020</v>
      </c>
    </row>
    <row r="119" spans="1:27" x14ac:dyDescent="0.25">
      <c r="A119" t="s">
        <v>105</v>
      </c>
      <c r="B119" t="s">
        <v>60</v>
      </c>
      <c r="C119" t="s">
        <v>60</v>
      </c>
      <c r="D119" s="19" t="s">
        <v>60</v>
      </c>
      <c r="E119" s="7" t="s">
        <v>400</v>
      </c>
      <c r="F119" s="15">
        <v>45444</v>
      </c>
      <c r="G119" s="15">
        <v>45473</v>
      </c>
      <c r="H119" s="7">
        <v>36</v>
      </c>
      <c r="I119" s="8"/>
      <c r="J119" s="8"/>
      <c r="K119" s="9">
        <v>44682</v>
      </c>
      <c r="L119" s="7" t="s">
        <v>124</v>
      </c>
      <c r="M119" s="8"/>
      <c r="N119" s="8" t="s">
        <v>223</v>
      </c>
      <c r="O119" s="8" t="s">
        <v>268</v>
      </c>
      <c r="P119" s="8"/>
      <c r="Q119" s="8"/>
      <c r="R119" s="8"/>
      <c r="S119" s="6"/>
      <c r="T119" s="6"/>
      <c r="U119" s="7" t="s">
        <v>305</v>
      </c>
      <c r="V119" s="7"/>
      <c r="W119" s="7" t="s">
        <v>308</v>
      </c>
      <c r="X119" s="7"/>
      <c r="Y119" s="7"/>
      <c r="Z119" s="7">
        <v>2005</v>
      </c>
      <c r="AA119" s="7">
        <v>2020</v>
      </c>
    </row>
    <row r="120" spans="1:27" x14ac:dyDescent="0.25">
      <c r="A120" t="s">
        <v>106</v>
      </c>
      <c r="B120" t="s">
        <v>60</v>
      </c>
      <c r="C120" t="s">
        <v>60</v>
      </c>
      <c r="D120" t="s">
        <v>60</v>
      </c>
      <c r="E120" s="7" t="s">
        <v>400</v>
      </c>
      <c r="F120" s="15">
        <v>45444</v>
      </c>
      <c r="G120" s="15">
        <v>45473</v>
      </c>
      <c r="H120" s="7">
        <v>40</v>
      </c>
      <c r="I120" s="8"/>
      <c r="J120" s="8" t="s">
        <v>279</v>
      </c>
      <c r="K120" s="9">
        <v>44835</v>
      </c>
      <c r="L120" s="7" t="s">
        <v>124</v>
      </c>
      <c r="M120" s="8"/>
      <c r="N120" s="8"/>
      <c r="O120" s="8" t="s">
        <v>254</v>
      </c>
      <c r="P120" s="8"/>
      <c r="Q120" s="8"/>
      <c r="R120" s="8"/>
      <c r="S120" s="6"/>
      <c r="T120" s="6"/>
      <c r="U120" s="7" t="s">
        <v>305</v>
      </c>
      <c r="V120" s="7"/>
      <c r="W120" s="7" t="s">
        <v>308</v>
      </c>
      <c r="X120" s="7"/>
      <c r="Y120" s="7"/>
      <c r="Z120" s="7">
        <v>2005</v>
      </c>
      <c r="AA120" s="7">
        <v>2020</v>
      </c>
    </row>
  </sheetData>
  <autoFilter ref="A1:R1" xr:uid="{00000000-0009-0000-0000-000000000000}"/>
  <mergeCells count="2">
    <mergeCell ref="AD9:AE9"/>
    <mergeCell ref="AC7:AE8"/>
  </mergeCells>
  <phoneticPr fontId="2" type="noConversion"/>
  <conditionalFormatting sqref="B1:D1048576">
    <cfRule type="cellIs" dxfId="10" priority="3" operator="equal">
      <formula>"Oui"</formula>
    </cfRule>
  </conditionalFormatting>
  <conditionalFormatting sqref="E1:E120">
    <cfRule type="cellIs" dxfId="9" priority="1" operator="equal">
      <formula>"Oui"</formula>
    </cfRule>
  </conditionalFormatting>
  <conditionalFormatting sqref="H1:AA1">
    <cfRule type="cellIs" dxfId="8" priority="18" operator="equal">
      <formula>"Oui"</formula>
    </cfRule>
  </conditionalFormatting>
  <dataValidations count="6">
    <dataValidation type="list" allowBlank="1" showInputMessage="1" showErrorMessage="1" sqref="D17:D119 C17:C118 C2:D16 B2:B1048576" xr:uid="{00000000-0002-0000-0000-000000000000}">
      <formula1>"Oui, Non"</formula1>
    </dataValidation>
    <dataValidation type="list" allowBlank="1" showInputMessage="1" showErrorMessage="1" sqref="L102:L107 L2:L15 L17:L100" xr:uid="{00000000-0002-0000-0000-000001000000}">
      <formula1>"API,csv"</formula1>
    </dataValidation>
    <dataValidation type="list" allowBlank="1" showInputMessage="1" showErrorMessage="1" sqref="E2:E120" xr:uid="{00000000-0002-0000-0000-000002000000}">
      <formula1>"1 mois, 3 mois"</formula1>
    </dataValidation>
    <dataValidation type="list" allowBlank="1" showInputMessage="1" showErrorMessage="1" sqref="W2:W120" xr:uid="{00000000-0002-0000-0000-000003000000}">
      <formula1>"free,building"</formula1>
    </dataValidation>
    <dataValidation type="list" allowBlank="1" showInputMessage="1" showErrorMessage="1" sqref="U2:U120" xr:uid="{00000000-0002-0000-0000-000004000000}">
      <formula1>"crystSi,CIS,CdTe"</formula1>
    </dataValidation>
    <dataValidation type="list" allowBlank="1" showInputMessage="1" showErrorMessage="1" sqref="AD9" xr:uid="{00000000-0002-0000-0000-000005000000}">
      <formula1>$A$2:$A$120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unPythonScript">
                <anchor moveWithCells="1">
                  <from>
                    <xdr:col>28</xdr:col>
                    <xdr:colOff>685800</xdr:colOff>
                    <xdr:row>9</xdr:row>
                    <xdr:rowOff>66675</xdr:rowOff>
                  </from>
                  <to>
                    <xdr:col>29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B62"/>
  <sheetViews>
    <sheetView workbookViewId="0">
      <pane ySplit="1" topLeftCell="A50" activePane="bottomLeft" state="frozen"/>
      <selection pane="bottomLeft" activeCell="I13" sqref="I13"/>
    </sheetView>
  </sheetViews>
  <sheetFormatPr baseColWidth="10" defaultRowHeight="15" x14ac:dyDescent="0.25"/>
  <cols>
    <col min="1" max="1" width="36.85546875" bestFit="1" customWidth="1"/>
    <col min="2" max="10" width="12.85546875" customWidth="1"/>
    <col min="11" max="11" width="12.85546875" style="4" customWidth="1"/>
    <col min="12" max="14" width="12.85546875" customWidth="1"/>
    <col min="20" max="20" width="7.28515625" style="5" bestFit="1" customWidth="1"/>
    <col min="21" max="21" width="8.7109375" style="5" bestFit="1" customWidth="1"/>
    <col min="22" max="22" width="12.7109375" bestFit="1" customWidth="1"/>
    <col min="23" max="23" width="5.85546875" bestFit="1" customWidth="1"/>
    <col min="24" max="24" width="12.140625" bestFit="1" customWidth="1"/>
    <col min="25" max="25" width="5.28515625" bestFit="1" customWidth="1"/>
    <col min="26" max="26" width="7.5703125" bestFit="1" customWidth="1"/>
    <col min="27" max="27" width="16.7109375" bestFit="1" customWidth="1"/>
    <col min="28" max="28" width="13.7109375" bestFit="1" customWidth="1"/>
  </cols>
  <sheetData>
    <row r="1" spans="1:28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3" t="s">
        <v>1</v>
      </c>
      <c r="G1" s="3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175</v>
      </c>
      <c r="N1" t="s">
        <v>176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s="5" t="s">
        <v>296</v>
      </c>
      <c r="U1" s="5" t="s">
        <v>297</v>
      </c>
      <c r="V1" t="s">
        <v>298</v>
      </c>
      <c r="W1" t="s">
        <v>299</v>
      </c>
      <c r="X1" t="s">
        <v>300</v>
      </c>
      <c r="Y1" t="s">
        <v>301</v>
      </c>
      <c r="Z1" t="s">
        <v>304</v>
      </c>
      <c r="AA1" t="s">
        <v>302</v>
      </c>
      <c r="AB1" t="s">
        <v>303</v>
      </c>
    </row>
    <row r="2" spans="1:28" x14ac:dyDescent="0.25">
      <c r="A2" t="s">
        <v>113</v>
      </c>
      <c r="B2" t="s">
        <v>60</v>
      </c>
      <c r="C2" t="s">
        <v>60</v>
      </c>
      <c r="D2" t="s">
        <v>60</v>
      </c>
      <c r="E2" s="7" t="str">
        <f t="shared" ref="E2:E61" si="0">IF(G2-F2&gt;31,"3 mois", "1 mois")</f>
        <v>1 mois</v>
      </c>
      <c r="F2" s="24">
        <v>45200</v>
      </c>
      <c r="G2" s="24">
        <v>45230</v>
      </c>
      <c r="H2" s="7"/>
      <c r="I2" s="11"/>
      <c r="J2" s="11"/>
      <c r="K2" s="12">
        <v>42736</v>
      </c>
      <c r="L2" s="17" t="s">
        <v>124</v>
      </c>
      <c r="M2" s="11"/>
      <c r="N2" s="11"/>
      <c r="O2" s="11"/>
      <c r="P2" s="11"/>
      <c r="Q2" s="11"/>
      <c r="R2" s="11"/>
      <c r="S2" s="11"/>
      <c r="T2" s="6"/>
      <c r="U2" s="6"/>
      <c r="V2" s="7" t="s">
        <v>305</v>
      </c>
      <c r="W2" s="7"/>
      <c r="X2" s="7" t="s">
        <v>308</v>
      </c>
      <c r="Y2" s="7"/>
      <c r="Z2" s="7"/>
      <c r="AA2" s="7">
        <v>2005</v>
      </c>
      <c r="AB2" s="7">
        <v>2020</v>
      </c>
    </row>
    <row r="3" spans="1:28" x14ac:dyDescent="0.25">
      <c r="A3" t="s">
        <v>114</v>
      </c>
      <c r="B3" t="s">
        <v>60</v>
      </c>
      <c r="C3" t="s">
        <v>60</v>
      </c>
      <c r="D3" t="s">
        <v>60</v>
      </c>
      <c r="E3" s="7" t="str">
        <f t="shared" si="0"/>
        <v>1 mois</v>
      </c>
      <c r="F3" s="24">
        <v>45200</v>
      </c>
      <c r="G3" s="24">
        <v>45230</v>
      </c>
      <c r="H3" s="7"/>
      <c r="I3" s="13"/>
      <c r="J3" s="11"/>
      <c r="K3" s="12">
        <v>44866</v>
      </c>
      <c r="L3" s="17" t="s">
        <v>124</v>
      </c>
      <c r="M3" s="11"/>
      <c r="N3" s="11"/>
      <c r="O3" s="11"/>
      <c r="P3" s="11"/>
      <c r="Q3" s="11"/>
      <c r="R3" s="11"/>
      <c r="S3" s="11"/>
      <c r="T3" s="6"/>
      <c r="U3" s="6"/>
      <c r="V3" s="7" t="s">
        <v>305</v>
      </c>
      <c r="W3" s="7"/>
      <c r="X3" s="7" t="s">
        <v>308</v>
      </c>
      <c r="Y3" s="7"/>
      <c r="Z3" s="7"/>
      <c r="AA3" s="7">
        <v>2005</v>
      </c>
      <c r="AB3" s="7">
        <v>2020</v>
      </c>
    </row>
    <row r="4" spans="1:28" x14ac:dyDescent="0.25">
      <c r="A4" t="s">
        <v>115</v>
      </c>
      <c r="B4" t="s">
        <v>60</v>
      </c>
      <c r="C4" t="s">
        <v>60</v>
      </c>
      <c r="D4" t="s">
        <v>60</v>
      </c>
      <c r="E4" s="7" t="str">
        <f t="shared" si="0"/>
        <v>1 mois</v>
      </c>
      <c r="F4" s="24">
        <v>45200</v>
      </c>
      <c r="G4" s="24">
        <v>45230</v>
      </c>
      <c r="H4" s="7"/>
      <c r="I4" s="11"/>
      <c r="J4" s="11"/>
      <c r="K4" s="12"/>
      <c r="L4" s="17" t="s">
        <v>124</v>
      </c>
      <c r="M4" s="11"/>
      <c r="N4" s="11"/>
      <c r="O4" s="11"/>
      <c r="P4" s="11"/>
      <c r="Q4" s="11"/>
      <c r="R4" s="11"/>
      <c r="S4" s="11"/>
      <c r="T4" s="6"/>
      <c r="U4" s="6"/>
      <c r="V4" s="7" t="s">
        <v>305</v>
      </c>
      <c r="W4" s="7"/>
      <c r="X4" s="7" t="s">
        <v>308</v>
      </c>
      <c r="Y4" s="7"/>
      <c r="Z4" s="7"/>
      <c r="AA4" s="7">
        <v>2005</v>
      </c>
      <c r="AB4" s="7">
        <v>2020</v>
      </c>
    </row>
    <row r="5" spans="1:28" x14ac:dyDescent="0.25">
      <c r="A5" t="s">
        <v>116</v>
      </c>
      <c r="B5" t="s">
        <v>60</v>
      </c>
      <c r="C5" t="s">
        <v>60</v>
      </c>
      <c r="D5" t="s">
        <v>60</v>
      </c>
      <c r="E5" s="7" t="str">
        <f t="shared" si="0"/>
        <v>1 mois</v>
      </c>
      <c r="F5" s="24">
        <v>45200</v>
      </c>
      <c r="G5" s="24">
        <v>45230</v>
      </c>
      <c r="H5" s="7"/>
      <c r="I5" s="11"/>
      <c r="J5" s="11"/>
      <c r="K5" s="12">
        <v>44835</v>
      </c>
      <c r="L5" s="17" t="s">
        <v>124</v>
      </c>
      <c r="M5" s="11"/>
      <c r="N5" s="11"/>
      <c r="O5" s="11"/>
      <c r="P5" s="11"/>
      <c r="Q5" s="11"/>
      <c r="R5" s="11"/>
      <c r="S5" s="11"/>
      <c r="T5" s="6"/>
      <c r="U5" s="6"/>
      <c r="V5" s="7" t="s">
        <v>305</v>
      </c>
      <c r="W5" s="7"/>
      <c r="X5" s="7" t="s">
        <v>308</v>
      </c>
      <c r="Y5" s="7"/>
      <c r="Z5" s="7"/>
      <c r="AA5" s="7">
        <v>2005</v>
      </c>
      <c r="AB5" s="7">
        <v>2020</v>
      </c>
    </row>
    <row r="6" spans="1:28" x14ac:dyDescent="0.25">
      <c r="A6" t="s">
        <v>117</v>
      </c>
      <c r="B6" t="s">
        <v>60</v>
      </c>
      <c r="C6" t="s">
        <v>60</v>
      </c>
      <c r="D6" t="s">
        <v>60</v>
      </c>
      <c r="E6" s="7" t="str">
        <f t="shared" si="0"/>
        <v>1 mois</v>
      </c>
      <c r="F6" s="24">
        <v>45200</v>
      </c>
      <c r="G6" s="24">
        <v>45230</v>
      </c>
      <c r="H6" s="7"/>
      <c r="I6" s="11"/>
      <c r="J6" s="11"/>
      <c r="K6" s="12"/>
      <c r="L6" s="17" t="s">
        <v>124</v>
      </c>
      <c r="M6" s="11"/>
      <c r="N6" s="11"/>
      <c r="O6" s="11"/>
      <c r="P6" s="11"/>
      <c r="Q6" s="11"/>
      <c r="R6" s="11"/>
      <c r="S6" s="11"/>
      <c r="T6" s="6"/>
      <c r="U6" s="6"/>
      <c r="V6" s="7" t="s">
        <v>305</v>
      </c>
      <c r="W6" s="7"/>
      <c r="X6" s="7" t="s">
        <v>308</v>
      </c>
      <c r="Y6" s="7"/>
      <c r="Z6" s="7"/>
      <c r="AA6" s="7">
        <v>2005</v>
      </c>
      <c r="AB6" s="7">
        <v>2020</v>
      </c>
    </row>
    <row r="7" spans="1:28" x14ac:dyDescent="0.25">
      <c r="A7" t="s">
        <v>118</v>
      </c>
      <c r="B7" t="s">
        <v>60</v>
      </c>
      <c r="C7" t="s">
        <v>60</v>
      </c>
      <c r="D7" t="s">
        <v>60</v>
      </c>
      <c r="E7" s="7" t="str">
        <f t="shared" si="0"/>
        <v>1 mois</v>
      </c>
      <c r="F7" s="24">
        <v>45200</v>
      </c>
      <c r="G7" s="24">
        <v>45230</v>
      </c>
      <c r="H7" s="7"/>
      <c r="I7" s="11"/>
      <c r="J7" s="11"/>
      <c r="K7" s="12"/>
      <c r="L7" s="17" t="s">
        <v>124</v>
      </c>
      <c r="M7" s="11"/>
      <c r="N7" s="11"/>
      <c r="O7" s="11"/>
      <c r="P7" s="11"/>
      <c r="Q7" s="11"/>
      <c r="R7" s="11"/>
      <c r="S7" s="11"/>
      <c r="T7" s="6"/>
      <c r="U7" s="6"/>
      <c r="V7" s="7" t="s">
        <v>305</v>
      </c>
      <c r="W7" s="7"/>
      <c r="X7" s="7" t="s">
        <v>308</v>
      </c>
      <c r="Y7" s="7"/>
      <c r="Z7" s="7"/>
      <c r="AA7" s="7">
        <v>2005</v>
      </c>
      <c r="AB7" s="7">
        <v>2020</v>
      </c>
    </row>
    <row r="8" spans="1:28" x14ac:dyDescent="0.25">
      <c r="A8" t="s">
        <v>119</v>
      </c>
      <c r="B8" t="s">
        <v>60</v>
      </c>
      <c r="C8" t="s">
        <v>60</v>
      </c>
      <c r="D8" t="s">
        <v>60</v>
      </c>
      <c r="E8" s="7" t="str">
        <f t="shared" si="0"/>
        <v>1 mois</v>
      </c>
      <c r="F8" s="24">
        <v>45200</v>
      </c>
      <c r="G8" s="24">
        <v>45230</v>
      </c>
      <c r="H8" s="7"/>
      <c r="I8" s="11"/>
      <c r="J8" s="11"/>
      <c r="K8" s="12"/>
      <c r="L8" s="17" t="s">
        <v>124</v>
      </c>
      <c r="M8" s="11"/>
      <c r="N8" s="11"/>
      <c r="O8" s="11"/>
      <c r="P8" s="11"/>
      <c r="Q8" s="11"/>
      <c r="R8" s="11"/>
      <c r="S8" s="11"/>
      <c r="T8" s="6"/>
      <c r="U8" s="6"/>
      <c r="V8" s="7" t="s">
        <v>305</v>
      </c>
      <c r="W8" s="7"/>
      <c r="X8" s="7" t="s">
        <v>308</v>
      </c>
      <c r="Y8" s="7"/>
      <c r="Z8" s="7"/>
      <c r="AA8" s="7">
        <v>2005</v>
      </c>
      <c r="AB8" s="7">
        <v>2020</v>
      </c>
    </row>
    <row r="9" spans="1:28" x14ac:dyDescent="0.25">
      <c r="A9" t="s">
        <v>120</v>
      </c>
      <c r="B9" t="s">
        <v>60</v>
      </c>
      <c r="C9" t="s">
        <v>60</v>
      </c>
      <c r="D9" t="s">
        <v>60</v>
      </c>
      <c r="E9" s="7" t="str">
        <f t="shared" si="0"/>
        <v>1 mois</v>
      </c>
      <c r="F9" s="24">
        <v>45200</v>
      </c>
      <c r="G9" s="24">
        <v>45230</v>
      </c>
      <c r="H9" s="7"/>
      <c r="I9" s="11"/>
      <c r="J9" s="11"/>
      <c r="K9" s="12"/>
      <c r="L9" s="17" t="s">
        <v>124</v>
      </c>
      <c r="M9" s="11"/>
      <c r="N9" s="11"/>
      <c r="O9" s="11"/>
      <c r="P9" s="11"/>
      <c r="Q9" s="11"/>
      <c r="R9" s="11"/>
      <c r="S9" s="11"/>
      <c r="T9" s="6"/>
      <c r="U9" s="6"/>
      <c r="V9" s="7" t="s">
        <v>305</v>
      </c>
      <c r="W9" s="7"/>
      <c r="X9" s="7" t="s">
        <v>308</v>
      </c>
      <c r="Y9" s="7"/>
      <c r="Z9" s="7"/>
      <c r="AA9" s="7">
        <v>2005</v>
      </c>
      <c r="AB9" s="7">
        <v>2020</v>
      </c>
    </row>
    <row r="10" spans="1:28" x14ac:dyDescent="0.25">
      <c r="A10" t="s">
        <v>121</v>
      </c>
      <c r="B10" t="s">
        <v>60</v>
      </c>
      <c r="C10" t="s">
        <v>60</v>
      </c>
      <c r="D10" t="s">
        <v>60</v>
      </c>
      <c r="E10" s="7" t="str">
        <f t="shared" si="0"/>
        <v>1 mois</v>
      </c>
      <c r="F10" s="24">
        <v>45200</v>
      </c>
      <c r="G10" s="24">
        <v>45230</v>
      </c>
      <c r="H10" s="7"/>
      <c r="I10" s="11"/>
      <c r="J10" s="11"/>
      <c r="K10" s="12"/>
      <c r="L10" s="17" t="s">
        <v>124</v>
      </c>
      <c r="M10" s="11"/>
      <c r="N10" s="11"/>
      <c r="O10" s="11"/>
      <c r="P10" s="11"/>
      <c r="Q10" s="11"/>
      <c r="R10" s="11"/>
      <c r="S10" s="11"/>
      <c r="T10" s="6"/>
      <c r="U10" s="6"/>
      <c r="V10" s="7" t="s">
        <v>305</v>
      </c>
      <c r="W10" s="7"/>
      <c r="X10" s="7" t="s">
        <v>308</v>
      </c>
      <c r="Y10" s="7"/>
      <c r="Z10" s="7"/>
      <c r="AA10" s="7">
        <v>2005</v>
      </c>
      <c r="AB10" s="7">
        <v>2020</v>
      </c>
    </row>
    <row r="11" spans="1:28" x14ac:dyDescent="0.25">
      <c r="A11" t="s">
        <v>122</v>
      </c>
      <c r="B11" t="s">
        <v>60</v>
      </c>
      <c r="C11" t="s">
        <v>60</v>
      </c>
      <c r="D11" t="s">
        <v>60</v>
      </c>
      <c r="E11" s="7" t="str">
        <f t="shared" si="0"/>
        <v>1 mois</v>
      </c>
      <c r="F11" s="24">
        <v>45200</v>
      </c>
      <c r="G11" s="24">
        <v>45230</v>
      </c>
      <c r="H11" s="7"/>
      <c r="I11" s="11"/>
      <c r="J11" s="11"/>
      <c r="K11" s="12"/>
      <c r="L11" s="17" t="s">
        <v>124</v>
      </c>
      <c r="M11" s="11"/>
      <c r="N11" s="11"/>
      <c r="O11" s="11"/>
      <c r="P11" s="11"/>
      <c r="Q11" s="11"/>
      <c r="R11" s="11"/>
      <c r="S11" s="11"/>
      <c r="T11" s="6"/>
      <c r="U11" s="6"/>
      <c r="V11" s="7" t="s">
        <v>305</v>
      </c>
      <c r="W11" s="7"/>
      <c r="X11" s="7" t="s">
        <v>308</v>
      </c>
      <c r="Y11" s="7"/>
      <c r="Z11" s="7"/>
      <c r="AA11" s="7">
        <v>2005</v>
      </c>
      <c r="AB11" s="7">
        <v>2020</v>
      </c>
    </row>
    <row r="12" spans="1:28" x14ac:dyDescent="0.25">
      <c r="A12" s="18" t="s">
        <v>130</v>
      </c>
      <c r="B12" t="s">
        <v>59</v>
      </c>
      <c r="C12" t="s">
        <v>60</v>
      </c>
      <c r="D12" t="s">
        <v>60</v>
      </c>
      <c r="E12" s="7" t="str">
        <f t="shared" si="0"/>
        <v>1 mois</v>
      </c>
      <c r="F12" s="24">
        <v>45323</v>
      </c>
      <c r="G12" s="24">
        <v>45351</v>
      </c>
      <c r="H12" s="7">
        <v>200</v>
      </c>
      <c r="I12" s="11"/>
      <c r="J12" s="11" t="s">
        <v>358</v>
      </c>
      <c r="K12" s="12">
        <v>44834</v>
      </c>
      <c r="L12" s="17" t="s">
        <v>124</v>
      </c>
      <c r="M12" s="11"/>
      <c r="N12" s="11"/>
      <c r="O12" s="11"/>
      <c r="P12" s="11"/>
      <c r="Q12" s="11"/>
      <c r="R12" s="11"/>
      <c r="S12" s="11"/>
      <c r="T12" s="6"/>
      <c r="U12" s="6"/>
      <c r="V12" s="7" t="s">
        <v>305</v>
      </c>
      <c r="W12" s="7"/>
      <c r="X12" s="7" t="s">
        <v>308</v>
      </c>
      <c r="Y12" s="7"/>
      <c r="Z12" s="7"/>
      <c r="AA12" s="7">
        <v>2005</v>
      </c>
      <c r="AB12" s="7">
        <v>2020</v>
      </c>
    </row>
    <row r="13" spans="1:28" x14ac:dyDescent="0.25">
      <c r="A13" t="s">
        <v>131</v>
      </c>
      <c r="B13" t="s">
        <v>60</v>
      </c>
      <c r="C13" t="s">
        <v>60</v>
      </c>
      <c r="D13" t="s">
        <v>60</v>
      </c>
      <c r="E13" s="7" t="str">
        <f t="shared" si="0"/>
        <v>1 mois</v>
      </c>
      <c r="F13" s="24">
        <v>45231</v>
      </c>
      <c r="G13" s="24">
        <v>45260</v>
      </c>
      <c r="H13" s="7">
        <v>105</v>
      </c>
      <c r="I13" s="11"/>
      <c r="J13" s="11">
        <v>3</v>
      </c>
      <c r="K13" s="12"/>
      <c r="L13" s="17" t="s">
        <v>124</v>
      </c>
      <c r="M13" s="11"/>
      <c r="N13" s="11"/>
      <c r="O13" s="11"/>
      <c r="P13" s="11"/>
      <c r="Q13" s="11"/>
      <c r="R13" s="11"/>
      <c r="S13" s="11"/>
      <c r="T13" s="6"/>
      <c r="U13" s="6"/>
      <c r="V13" s="7" t="s">
        <v>305</v>
      </c>
      <c r="W13" s="7"/>
      <c r="X13" s="7" t="s">
        <v>308</v>
      </c>
      <c r="Y13" s="7"/>
      <c r="Z13" s="7"/>
      <c r="AA13" s="7">
        <v>2005</v>
      </c>
      <c r="AB13" s="7">
        <v>2020</v>
      </c>
    </row>
    <row r="14" spans="1:28" x14ac:dyDescent="0.25">
      <c r="A14" t="s">
        <v>132</v>
      </c>
      <c r="B14" t="s">
        <v>60</v>
      </c>
      <c r="C14" t="s">
        <v>60</v>
      </c>
      <c r="D14" t="s">
        <v>60</v>
      </c>
      <c r="E14" s="7" t="str">
        <f t="shared" si="0"/>
        <v>1 mois</v>
      </c>
      <c r="F14" s="24">
        <v>45231</v>
      </c>
      <c r="G14" s="24">
        <v>45260</v>
      </c>
      <c r="H14" s="7">
        <v>47</v>
      </c>
      <c r="I14" s="11"/>
      <c r="J14" s="11">
        <v>2</v>
      </c>
      <c r="K14" s="12"/>
      <c r="L14" s="17" t="s">
        <v>124</v>
      </c>
      <c r="M14" s="11"/>
      <c r="N14" s="11"/>
      <c r="O14" s="11"/>
      <c r="P14" s="11"/>
      <c r="Q14" s="11"/>
      <c r="R14" s="11"/>
      <c r="S14" s="11"/>
      <c r="T14" s="6"/>
      <c r="U14" s="6"/>
      <c r="V14" s="7" t="s">
        <v>305</v>
      </c>
      <c r="W14" s="7"/>
      <c r="X14" s="7" t="s">
        <v>308</v>
      </c>
      <c r="Y14" s="7"/>
      <c r="Z14" s="7"/>
      <c r="AA14" s="7">
        <v>2005</v>
      </c>
      <c r="AB14" s="7">
        <v>2020</v>
      </c>
    </row>
    <row r="15" spans="1:28" x14ac:dyDescent="0.25">
      <c r="A15" t="s">
        <v>133</v>
      </c>
      <c r="B15" t="s">
        <v>60</v>
      </c>
      <c r="C15" t="s">
        <v>60</v>
      </c>
      <c r="D15" t="s">
        <v>60</v>
      </c>
      <c r="E15" s="7" t="str">
        <f t="shared" si="0"/>
        <v>1 mois</v>
      </c>
      <c r="F15" s="24">
        <v>45231</v>
      </c>
      <c r="G15" s="24">
        <v>45260</v>
      </c>
      <c r="H15" s="7">
        <v>5</v>
      </c>
      <c r="I15" s="11"/>
      <c r="J15" s="11">
        <v>1</v>
      </c>
      <c r="K15" s="12"/>
      <c r="L15" s="17" t="s">
        <v>124</v>
      </c>
      <c r="M15" s="11"/>
      <c r="N15" s="11"/>
      <c r="O15" s="11"/>
      <c r="P15" s="11"/>
      <c r="Q15" s="11"/>
      <c r="R15" s="11"/>
      <c r="S15" s="11"/>
      <c r="T15" s="6"/>
      <c r="U15" s="6"/>
      <c r="V15" s="7" t="s">
        <v>305</v>
      </c>
      <c r="W15" s="7"/>
      <c r="X15" s="7" t="s">
        <v>308</v>
      </c>
      <c r="Y15" s="7"/>
      <c r="Z15" s="7"/>
      <c r="AA15" s="7">
        <v>2005</v>
      </c>
      <c r="AB15" s="7">
        <v>2020</v>
      </c>
    </row>
    <row r="16" spans="1:28" x14ac:dyDescent="0.25">
      <c r="A16" t="s">
        <v>134</v>
      </c>
      <c r="B16" t="s">
        <v>60</v>
      </c>
      <c r="C16" t="s">
        <v>60</v>
      </c>
      <c r="D16" t="s">
        <v>60</v>
      </c>
      <c r="E16" s="7" t="str">
        <f t="shared" si="0"/>
        <v>1 mois</v>
      </c>
      <c r="F16" s="24">
        <v>45231</v>
      </c>
      <c r="G16" s="24">
        <v>45260</v>
      </c>
      <c r="H16" s="7">
        <v>20.52</v>
      </c>
      <c r="I16" s="11"/>
      <c r="J16" s="11">
        <v>1</v>
      </c>
      <c r="K16" s="12"/>
      <c r="L16" s="17" t="s">
        <v>124</v>
      </c>
      <c r="M16" s="11"/>
      <c r="N16" s="11"/>
      <c r="O16" s="11"/>
      <c r="P16" s="11"/>
      <c r="Q16" s="11"/>
      <c r="R16" s="11"/>
      <c r="S16" s="11"/>
      <c r="T16" s="6"/>
      <c r="U16" s="6"/>
      <c r="V16" s="7" t="s">
        <v>305</v>
      </c>
      <c r="W16" s="7"/>
      <c r="X16" s="7" t="s">
        <v>308</v>
      </c>
      <c r="Y16" s="7"/>
      <c r="Z16" s="7"/>
      <c r="AA16" s="7">
        <v>2005</v>
      </c>
      <c r="AB16" s="7">
        <v>2020</v>
      </c>
    </row>
    <row r="17" spans="1:28" x14ac:dyDescent="0.25">
      <c r="A17" t="s">
        <v>135</v>
      </c>
      <c r="B17" t="s">
        <v>60</v>
      </c>
      <c r="C17" t="s">
        <v>60</v>
      </c>
      <c r="D17" t="s">
        <v>60</v>
      </c>
      <c r="E17" s="7" t="str">
        <f t="shared" si="0"/>
        <v>1 mois</v>
      </c>
      <c r="F17" s="24">
        <v>45231</v>
      </c>
      <c r="G17" s="24">
        <v>45260</v>
      </c>
      <c r="H17" s="7">
        <v>41.04</v>
      </c>
      <c r="I17" s="11"/>
      <c r="J17" s="11">
        <v>2</v>
      </c>
      <c r="K17" s="12"/>
      <c r="L17" s="17" t="s">
        <v>124</v>
      </c>
      <c r="M17" s="11"/>
      <c r="N17" s="11"/>
      <c r="O17" s="11"/>
      <c r="P17" s="11"/>
      <c r="Q17" s="11"/>
      <c r="R17" s="11"/>
      <c r="S17" s="11"/>
      <c r="T17" s="6"/>
      <c r="U17" s="6"/>
      <c r="V17" s="7" t="s">
        <v>305</v>
      </c>
      <c r="W17" s="7"/>
      <c r="X17" s="7" t="s">
        <v>308</v>
      </c>
      <c r="Y17" s="7"/>
      <c r="Z17" s="7"/>
      <c r="AA17" s="7">
        <v>2005</v>
      </c>
      <c r="AB17" s="7">
        <v>2020</v>
      </c>
    </row>
    <row r="18" spans="1:28" x14ac:dyDescent="0.25">
      <c r="A18" t="s">
        <v>136</v>
      </c>
      <c r="B18" t="s">
        <v>60</v>
      </c>
      <c r="C18" t="s">
        <v>60</v>
      </c>
      <c r="D18" t="s">
        <v>60</v>
      </c>
      <c r="E18" s="7" t="str">
        <f t="shared" si="0"/>
        <v>1 mois</v>
      </c>
      <c r="F18" s="24">
        <v>45231</v>
      </c>
      <c r="G18" s="24">
        <v>45260</v>
      </c>
      <c r="H18" s="7">
        <v>41.04</v>
      </c>
      <c r="I18" s="11"/>
      <c r="J18" s="11">
        <v>2</v>
      </c>
      <c r="K18" s="12"/>
      <c r="L18" s="17" t="s">
        <v>124</v>
      </c>
      <c r="M18" s="11"/>
      <c r="N18" s="11"/>
      <c r="O18" s="11"/>
      <c r="P18" s="11"/>
      <c r="Q18" s="11"/>
      <c r="R18" s="11"/>
      <c r="S18" s="11"/>
      <c r="T18" s="6"/>
      <c r="U18" s="6"/>
      <c r="V18" s="7" t="s">
        <v>305</v>
      </c>
      <c r="W18" s="7"/>
      <c r="X18" s="7" t="s">
        <v>308</v>
      </c>
      <c r="Y18" s="7"/>
      <c r="Z18" s="7"/>
      <c r="AA18" s="7">
        <v>2005</v>
      </c>
      <c r="AB18" s="7">
        <v>2020</v>
      </c>
    </row>
    <row r="19" spans="1:28" x14ac:dyDescent="0.25">
      <c r="A19" t="s">
        <v>137</v>
      </c>
      <c r="B19" t="s">
        <v>60</v>
      </c>
      <c r="C19" t="s">
        <v>60</v>
      </c>
      <c r="D19" t="s">
        <v>60</v>
      </c>
      <c r="E19" s="7" t="str">
        <f t="shared" si="0"/>
        <v>1 mois</v>
      </c>
      <c r="F19" s="24">
        <v>45231</v>
      </c>
      <c r="G19" s="24">
        <v>45260</v>
      </c>
      <c r="H19" s="7">
        <v>45.36</v>
      </c>
      <c r="I19" s="11"/>
      <c r="J19" s="11">
        <v>2</v>
      </c>
      <c r="K19" s="12"/>
      <c r="L19" s="17" t="s">
        <v>124</v>
      </c>
      <c r="M19" s="11"/>
      <c r="N19" s="11"/>
      <c r="O19" s="11"/>
      <c r="P19" s="11"/>
      <c r="Q19" s="11"/>
      <c r="R19" s="11"/>
      <c r="S19" s="11"/>
      <c r="T19" s="6"/>
      <c r="U19" s="6"/>
      <c r="V19" s="7" t="s">
        <v>305</v>
      </c>
      <c r="W19" s="7"/>
      <c r="X19" s="7" t="s">
        <v>308</v>
      </c>
      <c r="Y19" s="7"/>
      <c r="Z19" s="7"/>
      <c r="AA19" s="7">
        <v>2005</v>
      </c>
      <c r="AB19" s="7">
        <v>2020</v>
      </c>
    </row>
    <row r="20" spans="1:28" x14ac:dyDescent="0.25">
      <c r="A20" t="s">
        <v>125</v>
      </c>
      <c r="B20" t="s">
        <v>60</v>
      </c>
      <c r="C20" t="s">
        <v>60</v>
      </c>
      <c r="D20" t="s">
        <v>60</v>
      </c>
      <c r="E20" s="7" t="str">
        <f t="shared" si="0"/>
        <v>1 mois</v>
      </c>
      <c r="F20" s="24">
        <v>45231</v>
      </c>
      <c r="G20" s="24">
        <v>45260</v>
      </c>
      <c r="H20" s="7">
        <v>114</v>
      </c>
      <c r="I20" s="11"/>
      <c r="J20" s="11">
        <v>5</v>
      </c>
      <c r="K20" s="12"/>
      <c r="L20" s="17" t="s">
        <v>124</v>
      </c>
      <c r="M20" s="11"/>
      <c r="N20" s="11"/>
      <c r="O20" s="11"/>
      <c r="P20" s="11"/>
      <c r="Q20" s="11"/>
      <c r="R20" s="11"/>
      <c r="S20" s="11"/>
      <c r="T20" s="6"/>
      <c r="U20" s="6"/>
      <c r="V20" s="7" t="s">
        <v>305</v>
      </c>
      <c r="W20" s="7"/>
      <c r="X20" s="7" t="s">
        <v>308</v>
      </c>
      <c r="Y20" s="7"/>
      <c r="Z20" s="7"/>
      <c r="AA20" s="7">
        <v>2005</v>
      </c>
      <c r="AB20" s="7">
        <v>2020</v>
      </c>
    </row>
    <row r="21" spans="1:28" x14ac:dyDescent="0.25">
      <c r="A21" t="s">
        <v>138</v>
      </c>
      <c r="B21" t="s">
        <v>60</v>
      </c>
      <c r="C21" t="s">
        <v>60</v>
      </c>
      <c r="D21" t="s">
        <v>60</v>
      </c>
      <c r="E21" s="7" t="str">
        <f t="shared" si="0"/>
        <v>1 mois</v>
      </c>
      <c r="F21" s="24">
        <v>45231</v>
      </c>
      <c r="G21" s="24">
        <v>45260</v>
      </c>
      <c r="H21" s="7">
        <v>11</v>
      </c>
      <c r="I21" s="11"/>
      <c r="J21" s="11">
        <v>1</v>
      </c>
      <c r="K21" s="12"/>
      <c r="L21" s="17" t="s">
        <v>124</v>
      </c>
      <c r="M21" s="11"/>
      <c r="N21" s="11"/>
      <c r="O21" s="11"/>
      <c r="P21" s="11"/>
      <c r="Q21" s="11"/>
      <c r="R21" s="11"/>
      <c r="S21" s="11"/>
      <c r="T21" s="6"/>
      <c r="U21" s="6"/>
      <c r="V21" s="7" t="s">
        <v>305</v>
      </c>
      <c r="W21" s="7"/>
      <c r="X21" s="7" t="s">
        <v>308</v>
      </c>
      <c r="Y21" s="7"/>
      <c r="Z21" s="7"/>
      <c r="AA21" s="7">
        <v>2005</v>
      </c>
      <c r="AB21" s="7">
        <v>2020</v>
      </c>
    </row>
    <row r="22" spans="1:28" x14ac:dyDescent="0.25">
      <c r="A22" s="18" t="s">
        <v>139</v>
      </c>
      <c r="B22" t="s">
        <v>60</v>
      </c>
      <c r="C22" t="s">
        <v>60</v>
      </c>
      <c r="D22" t="s">
        <v>60</v>
      </c>
      <c r="E22" s="7" t="str">
        <f t="shared" si="0"/>
        <v>1 mois</v>
      </c>
      <c r="F22" s="24">
        <v>45231</v>
      </c>
      <c r="G22" s="24">
        <v>45260</v>
      </c>
      <c r="H22" s="7">
        <v>252</v>
      </c>
      <c r="I22" s="11"/>
      <c r="J22" s="11"/>
      <c r="K22" s="12"/>
      <c r="L22" s="17" t="s">
        <v>124</v>
      </c>
      <c r="M22" s="11"/>
      <c r="N22" s="11"/>
      <c r="O22" s="11"/>
      <c r="P22" s="11"/>
      <c r="Q22" s="11"/>
      <c r="R22" s="11"/>
      <c r="S22" s="11"/>
      <c r="T22" s="6"/>
      <c r="U22" s="6"/>
      <c r="V22" s="7" t="s">
        <v>305</v>
      </c>
      <c r="W22" s="7"/>
      <c r="X22" s="7" t="s">
        <v>308</v>
      </c>
      <c r="Y22" s="7"/>
      <c r="Z22" s="7"/>
      <c r="AA22" s="7">
        <v>2005</v>
      </c>
      <c r="AB22" s="7">
        <v>2020</v>
      </c>
    </row>
    <row r="23" spans="1:28" x14ac:dyDescent="0.25">
      <c r="A23" s="18" t="s">
        <v>140</v>
      </c>
      <c r="B23" t="s">
        <v>60</v>
      </c>
      <c r="C23" t="s">
        <v>60</v>
      </c>
      <c r="D23" t="s">
        <v>60</v>
      </c>
      <c r="E23" s="7" t="str">
        <f t="shared" si="0"/>
        <v>1 mois</v>
      </c>
      <c r="F23" s="24">
        <v>45231</v>
      </c>
      <c r="G23" s="24">
        <v>45260</v>
      </c>
      <c r="H23" s="7">
        <v>248</v>
      </c>
      <c r="I23" s="11"/>
      <c r="J23" s="11">
        <v>8</v>
      </c>
      <c r="K23" s="12"/>
      <c r="L23" s="17" t="s">
        <v>124</v>
      </c>
      <c r="M23" s="11"/>
      <c r="N23" s="11"/>
      <c r="O23" s="11"/>
      <c r="P23" s="11"/>
      <c r="Q23" s="11"/>
      <c r="R23" s="11"/>
      <c r="S23" s="11"/>
      <c r="T23" s="6"/>
      <c r="U23" s="6"/>
      <c r="V23" s="7" t="s">
        <v>305</v>
      </c>
      <c r="W23" s="7"/>
      <c r="X23" s="7" t="s">
        <v>308</v>
      </c>
      <c r="Y23" s="7"/>
      <c r="Z23" s="7"/>
      <c r="AA23" s="7">
        <v>2005</v>
      </c>
      <c r="AB23" s="7">
        <v>2020</v>
      </c>
    </row>
    <row r="24" spans="1:28" x14ac:dyDescent="0.25">
      <c r="A24" s="18" t="s">
        <v>141</v>
      </c>
      <c r="B24" t="s">
        <v>60</v>
      </c>
      <c r="C24" t="s">
        <v>60</v>
      </c>
      <c r="D24" t="s">
        <v>60</v>
      </c>
      <c r="E24" s="7" t="str">
        <f t="shared" si="0"/>
        <v>1 mois</v>
      </c>
      <c r="F24" s="24">
        <v>45231</v>
      </c>
      <c r="G24" s="24">
        <v>45260</v>
      </c>
      <c r="H24" s="7">
        <v>300</v>
      </c>
      <c r="I24" s="11"/>
      <c r="J24" s="11">
        <v>10</v>
      </c>
      <c r="K24" s="12"/>
      <c r="L24" s="17" t="s">
        <v>124</v>
      </c>
      <c r="M24" s="11"/>
      <c r="N24" s="11"/>
      <c r="O24" s="11"/>
      <c r="P24" s="11"/>
      <c r="Q24" s="11"/>
      <c r="R24" s="11"/>
      <c r="S24" s="11"/>
      <c r="T24" s="6"/>
      <c r="U24" s="6"/>
      <c r="V24" s="7" t="s">
        <v>305</v>
      </c>
      <c r="W24" s="7"/>
      <c r="X24" s="7" t="s">
        <v>308</v>
      </c>
      <c r="Y24" s="7"/>
      <c r="Z24" s="7"/>
      <c r="AA24" s="7">
        <v>2005</v>
      </c>
      <c r="AB24" s="7">
        <v>2020</v>
      </c>
    </row>
    <row r="25" spans="1:28" x14ac:dyDescent="0.25">
      <c r="A25" t="s">
        <v>142</v>
      </c>
      <c r="B25" t="s">
        <v>60</v>
      </c>
      <c r="C25" t="s">
        <v>60</v>
      </c>
      <c r="D25" t="s">
        <v>60</v>
      </c>
      <c r="E25" s="7" t="str">
        <f t="shared" si="0"/>
        <v>1 mois</v>
      </c>
      <c r="F25" s="24">
        <v>45231</v>
      </c>
      <c r="G25" s="24">
        <v>45260</v>
      </c>
      <c r="H25" s="7"/>
      <c r="I25" s="11"/>
      <c r="J25" s="11">
        <v>2</v>
      </c>
      <c r="K25" s="12"/>
      <c r="L25" s="17" t="s">
        <v>124</v>
      </c>
      <c r="M25" s="11"/>
      <c r="N25" s="11"/>
      <c r="O25" s="11"/>
      <c r="P25" s="11"/>
      <c r="Q25" s="11"/>
      <c r="R25" s="11"/>
      <c r="S25" s="11"/>
      <c r="T25" s="6"/>
      <c r="U25" s="6"/>
      <c r="V25" s="7" t="s">
        <v>305</v>
      </c>
      <c r="W25" s="7"/>
      <c r="X25" s="7" t="s">
        <v>308</v>
      </c>
      <c r="Y25" s="7"/>
      <c r="Z25" s="7"/>
      <c r="AA25" s="7">
        <v>2005</v>
      </c>
      <c r="AB25" s="7">
        <v>2020</v>
      </c>
    </row>
    <row r="26" spans="1:28" x14ac:dyDescent="0.25">
      <c r="A26" t="s">
        <v>143</v>
      </c>
      <c r="B26" t="s">
        <v>60</v>
      </c>
      <c r="C26" t="s">
        <v>60</v>
      </c>
      <c r="D26" t="s">
        <v>60</v>
      </c>
      <c r="E26" s="7" t="str">
        <f t="shared" si="0"/>
        <v>1 mois</v>
      </c>
      <c r="F26" s="24">
        <v>45231</v>
      </c>
      <c r="G26" s="24">
        <v>45260</v>
      </c>
      <c r="H26" s="7">
        <v>36</v>
      </c>
      <c r="I26" s="11"/>
      <c r="J26" s="11">
        <v>2</v>
      </c>
      <c r="K26" s="12"/>
      <c r="L26" s="17" t="s">
        <v>124</v>
      </c>
      <c r="M26" s="11"/>
      <c r="N26" s="11"/>
      <c r="O26" s="11"/>
      <c r="P26" s="11"/>
      <c r="Q26" s="11"/>
      <c r="R26" s="11"/>
      <c r="S26" s="11"/>
      <c r="T26" s="6"/>
      <c r="U26" s="6"/>
      <c r="V26" s="7" t="s">
        <v>305</v>
      </c>
      <c r="W26" s="7"/>
      <c r="X26" s="7" t="s">
        <v>308</v>
      </c>
      <c r="Y26" s="7"/>
      <c r="Z26" s="7"/>
      <c r="AA26" s="7">
        <v>2005</v>
      </c>
      <c r="AB26" s="7">
        <v>2020</v>
      </c>
    </row>
    <row r="27" spans="1:28" x14ac:dyDescent="0.25">
      <c r="A27" s="18" t="s">
        <v>19</v>
      </c>
      <c r="B27" t="s">
        <v>60</v>
      </c>
      <c r="C27" t="s">
        <v>60</v>
      </c>
      <c r="D27" t="s">
        <v>60</v>
      </c>
      <c r="E27" s="7" t="str">
        <f t="shared" si="0"/>
        <v>1 mois</v>
      </c>
      <c r="F27" s="24">
        <v>45231</v>
      </c>
      <c r="G27" s="24">
        <v>45260</v>
      </c>
      <c r="H27" s="7">
        <v>27</v>
      </c>
      <c r="I27" s="11"/>
      <c r="J27" s="11">
        <v>1</v>
      </c>
      <c r="K27" s="12"/>
      <c r="L27" s="17" t="s">
        <v>124</v>
      </c>
      <c r="M27" s="11"/>
      <c r="N27" s="11"/>
      <c r="O27" s="11"/>
      <c r="P27" s="11"/>
      <c r="Q27" s="11"/>
      <c r="R27" s="11"/>
      <c r="S27" s="11"/>
      <c r="T27" s="6"/>
      <c r="U27" s="6"/>
      <c r="V27" s="7" t="s">
        <v>305</v>
      </c>
      <c r="W27" s="7"/>
      <c r="X27" s="7" t="s">
        <v>308</v>
      </c>
      <c r="Y27" s="7"/>
      <c r="Z27" s="7"/>
      <c r="AA27" s="7">
        <v>2005</v>
      </c>
      <c r="AB27" s="7">
        <v>2020</v>
      </c>
    </row>
    <row r="28" spans="1:28" x14ac:dyDescent="0.25">
      <c r="A28" t="s">
        <v>144</v>
      </c>
      <c r="B28" t="s">
        <v>60</v>
      </c>
      <c r="C28" t="s">
        <v>60</v>
      </c>
      <c r="D28" t="s">
        <v>60</v>
      </c>
      <c r="E28" s="7" t="str">
        <f t="shared" si="0"/>
        <v>1 mois</v>
      </c>
      <c r="F28" s="24">
        <v>45231</v>
      </c>
      <c r="G28" s="24">
        <v>45260</v>
      </c>
      <c r="H28" s="7">
        <v>17</v>
      </c>
      <c r="I28" s="11"/>
      <c r="J28" s="11">
        <v>1</v>
      </c>
      <c r="K28" s="12"/>
      <c r="L28" s="17" t="s">
        <v>124</v>
      </c>
      <c r="M28" s="11"/>
      <c r="N28" s="11"/>
      <c r="O28" s="11"/>
      <c r="P28" s="11"/>
      <c r="Q28" s="11"/>
      <c r="R28" s="11"/>
      <c r="S28" s="11"/>
      <c r="T28" s="6"/>
      <c r="U28" s="6"/>
      <c r="V28" s="7" t="s">
        <v>305</v>
      </c>
      <c r="W28" s="7"/>
      <c r="X28" s="7" t="s">
        <v>308</v>
      </c>
      <c r="Y28" s="7"/>
      <c r="Z28" s="7"/>
      <c r="AA28" s="7">
        <v>2005</v>
      </c>
      <c r="AB28" s="7">
        <v>2020</v>
      </c>
    </row>
    <row r="29" spans="1:28" x14ac:dyDescent="0.25">
      <c r="A29" t="s">
        <v>145</v>
      </c>
      <c r="B29" t="s">
        <v>60</v>
      </c>
      <c r="C29" t="s">
        <v>60</v>
      </c>
      <c r="D29" t="s">
        <v>60</v>
      </c>
      <c r="E29" s="7" t="str">
        <f t="shared" si="0"/>
        <v>1 mois</v>
      </c>
      <c r="F29" s="24">
        <v>45231</v>
      </c>
      <c r="G29" s="24">
        <v>45260</v>
      </c>
      <c r="H29" s="7">
        <v>20</v>
      </c>
      <c r="I29" s="11"/>
      <c r="J29" s="11">
        <v>2</v>
      </c>
      <c r="K29" s="12"/>
      <c r="L29" s="17" t="s">
        <v>124</v>
      </c>
      <c r="M29" s="11"/>
      <c r="N29" s="11"/>
      <c r="O29" s="11"/>
      <c r="P29" s="11"/>
      <c r="Q29" s="11"/>
      <c r="R29" s="11"/>
      <c r="S29" s="11"/>
      <c r="T29" s="6"/>
      <c r="U29" s="6"/>
      <c r="V29" s="7" t="s">
        <v>305</v>
      </c>
      <c r="W29" s="7"/>
      <c r="X29" s="7" t="s">
        <v>308</v>
      </c>
      <c r="Y29" s="7"/>
      <c r="Z29" s="7"/>
      <c r="AA29" s="7">
        <v>2005</v>
      </c>
      <c r="AB29" s="7">
        <v>2020</v>
      </c>
    </row>
    <row r="30" spans="1:28" ht="14.25" customHeight="1" x14ac:dyDescent="0.25">
      <c r="A30" s="18" t="s">
        <v>146</v>
      </c>
      <c r="B30" t="s">
        <v>60</v>
      </c>
      <c r="C30" t="s">
        <v>60</v>
      </c>
      <c r="D30" t="s">
        <v>60</v>
      </c>
      <c r="E30" s="7" t="s">
        <v>336</v>
      </c>
      <c r="F30" s="24">
        <v>45231</v>
      </c>
      <c r="G30" s="24">
        <v>45260</v>
      </c>
      <c r="H30" s="7">
        <v>41.85</v>
      </c>
      <c r="I30" s="11">
        <v>79</v>
      </c>
      <c r="J30" s="11" t="s">
        <v>178</v>
      </c>
      <c r="K30" s="12">
        <v>44531</v>
      </c>
      <c r="L30" s="17" t="s">
        <v>129</v>
      </c>
      <c r="M30" s="14">
        <f>2.122*1.052*79</f>
        <v>176.355176</v>
      </c>
      <c r="N30" s="11">
        <v>20</v>
      </c>
      <c r="O30" s="11" t="s">
        <v>204</v>
      </c>
      <c r="P30" s="11" t="s">
        <v>203</v>
      </c>
      <c r="Q30" s="11" t="s">
        <v>203</v>
      </c>
      <c r="R30" s="11" t="s">
        <v>203</v>
      </c>
      <c r="S30" s="11" t="s">
        <v>203</v>
      </c>
      <c r="T30" s="6" t="s">
        <v>306</v>
      </c>
      <c r="U30" s="6" t="s">
        <v>307</v>
      </c>
      <c r="V30" s="7" t="s">
        <v>305</v>
      </c>
      <c r="W30" s="7">
        <v>14</v>
      </c>
      <c r="X30" s="7" t="s">
        <v>309</v>
      </c>
      <c r="Y30" s="7">
        <v>35</v>
      </c>
      <c r="Z30" s="7">
        <v>0</v>
      </c>
      <c r="AA30" s="7">
        <v>2005</v>
      </c>
      <c r="AB30" s="7">
        <v>2020</v>
      </c>
    </row>
    <row r="31" spans="1:28" x14ac:dyDescent="0.25">
      <c r="A31" t="s">
        <v>147</v>
      </c>
      <c r="B31" t="s">
        <v>60</v>
      </c>
      <c r="C31" t="s">
        <v>60</v>
      </c>
      <c r="D31" t="s">
        <v>60</v>
      </c>
      <c r="E31" s="7" t="str">
        <f t="shared" si="0"/>
        <v>1 mois</v>
      </c>
      <c r="F31" s="24">
        <v>45231</v>
      </c>
      <c r="G31" s="24">
        <v>45260</v>
      </c>
      <c r="H31" s="7">
        <v>23</v>
      </c>
      <c r="I31" s="11"/>
      <c r="J31" s="11">
        <v>3</v>
      </c>
      <c r="K31" s="12"/>
      <c r="L31" s="17" t="s">
        <v>124</v>
      </c>
      <c r="M31" s="11"/>
      <c r="N31" s="11"/>
      <c r="O31" s="11"/>
      <c r="P31" s="11"/>
      <c r="Q31" s="11"/>
      <c r="R31" s="11"/>
      <c r="S31" s="11"/>
      <c r="T31" s="6"/>
      <c r="U31" s="6"/>
      <c r="V31" s="7" t="s">
        <v>305</v>
      </c>
      <c r="W31" s="7"/>
      <c r="X31" s="7" t="s">
        <v>308</v>
      </c>
      <c r="Y31" s="7"/>
      <c r="Z31" s="7"/>
      <c r="AA31" s="7">
        <v>2005</v>
      </c>
      <c r="AB31" s="7">
        <v>2020</v>
      </c>
    </row>
    <row r="32" spans="1:28" x14ac:dyDescent="0.25">
      <c r="A32" t="s">
        <v>148</v>
      </c>
      <c r="B32" t="s">
        <v>60</v>
      </c>
      <c r="C32" t="s">
        <v>60</v>
      </c>
      <c r="D32" t="s">
        <v>60</v>
      </c>
      <c r="E32" s="7" t="str">
        <f t="shared" si="0"/>
        <v>1 mois</v>
      </c>
      <c r="F32" s="24">
        <v>45231</v>
      </c>
      <c r="G32" s="24">
        <v>45260</v>
      </c>
      <c r="H32" s="7">
        <v>70</v>
      </c>
      <c r="I32" s="11"/>
      <c r="J32" s="11">
        <v>2</v>
      </c>
      <c r="K32" s="12"/>
      <c r="L32" s="17" t="s">
        <v>124</v>
      </c>
      <c r="M32" s="11"/>
      <c r="N32" s="11"/>
      <c r="O32" s="11"/>
      <c r="P32" s="11"/>
      <c r="Q32" s="11"/>
      <c r="R32" s="11"/>
      <c r="S32" s="11"/>
      <c r="T32" s="6"/>
      <c r="U32" s="6"/>
      <c r="V32" s="7" t="s">
        <v>305</v>
      </c>
      <c r="W32" s="7"/>
      <c r="X32" s="7" t="s">
        <v>308</v>
      </c>
      <c r="Y32" s="7"/>
      <c r="Z32" s="7"/>
      <c r="AA32" s="7">
        <v>2005</v>
      </c>
      <c r="AB32" s="7">
        <v>2020</v>
      </c>
    </row>
    <row r="33" spans="1:28" x14ac:dyDescent="0.25">
      <c r="A33" t="s">
        <v>149</v>
      </c>
      <c r="B33" t="s">
        <v>60</v>
      </c>
      <c r="C33" t="s">
        <v>60</v>
      </c>
      <c r="D33" t="s">
        <v>60</v>
      </c>
      <c r="E33" s="7" t="str">
        <f t="shared" si="0"/>
        <v>1 mois</v>
      </c>
      <c r="F33" s="24">
        <v>45231</v>
      </c>
      <c r="G33" s="24">
        <v>45260</v>
      </c>
      <c r="H33" s="7">
        <v>12</v>
      </c>
      <c r="I33" s="11"/>
      <c r="J33" s="11">
        <v>1</v>
      </c>
      <c r="K33" s="12"/>
      <c r="L33" s="17" t="s">
        <v>124</v>
      </c>
      <c r="M33" s="11"/>
      <c r="N33" s="11"/>
      <c r="O33" s="11"/>
      <c r="P33" s="11"/>
      <c r="Q33" s="11"/>
      <c r="R33" s="11"/>
      <c r="S33" s="11"/>
      <c r="T33" s="6"/>
      <c r="U33" s="6"/>
      <c r="V33" s="7" t="s">
        <v>305</v>
      </c>
      <c r="W33" s="7"/>
      <c r="X33" s="7" t="s">
        <v>308</v>
      </c>
      <c r="Y33" s="7"/>
      <c r="Z33" s="7"/>
      <c r="AA33" s="7">
        <v>2005</v>
      </c>
      <c r="AB33" s="7">
        <v>2020</v>
      </c>
    </row>
    <row r="34" spans="1:28" x14ac:dyDescent="0.25">
      <c r="A34" t="s">
        <v>150</v>
      </c>
      <c r="B34" t="s">
        <v>60</v>
      </c>
      <c r="C34" t="s">
        <v>60</v>
      </c>
      <c r="D34" t="s">
        <v>60</v>
      </c>
      <c r="E34" s="7" t="str">
        <f t="shared" si="0"/>
        <v>1 mois</v>
      </c>
      <c r="F34" s="24">
        <v>45231</v>
      </c>
      <c r="G34" s="24">
        <v>45260</v>
      </c>
      <c r="H34" s="7">
        <v>48</v>
      </c>
      <c r="I34" s="11"/>
      <c r="J34" s="11">
        <v>2</v>
      </c>
      <c r="K34" s="12"/>
      <c r="L34" s="17" t="s">
        <v>124</v>
      </c>
      <c r="M34" s="11"/>
      <c r="N34" s="11"/>
      <c r="O34" s="11"/>
      <c r="P34" s="11"/>
      <c r="Q34" s="11"/>
      <c r="R34" s="11"/>
      <c r="S34" s="11"/>
      <c r="T34" s="6"/>
      <c r="U34" s="6"/>
      <c r="V34" s="7" t="s">
        <v>305</v>
      </c>
      <c r="W34" s="7"/>
      <c r="X34" s="7" t="s">
        <v>308</v>
      </c>
      <c r="Y34" s="7"/>
      <c r="Z34" s="7"/>
      <c r="AA34" s="7">
        <v>2005</v>
      </c>
      <c r="AB34" s="7">
        <v>2020</v>
      </c>
    </row>
    <row r="35" spans="1:28" x14ac:dyDescent="0.25">
      <c r="A35" t="s">
        <v>151</v>
      </c>
      <c r="B35" t="s">
        <v>60</v>
      </c>
      <c r="C35" t="s">
        <v>60</v>
      </c>
      <c r="D35" t="s">
        <v>60</v>
      </c>
      <c r="E35" s="7" t="str">
        <f t="shared" si="0"/>
        <v>1 mois</v>
      </c>
      <c r="F35" s="24">
        <v>45231</v>
      </c>
      <c r="G35" s="24">
        <v>45260</v>
      </c>
      <c r="H35" s="7">
        <v>10</v>
      </c>
      <c r="I35" s="11"/>
      <c r="J35" s="11">
        <v>1</v>
      </c>
      <c r="K35" s="12"/>
      <c r="L35" s="17" t="s">
        <v>124</v>
      </c>
      <c r="M35" s="11"/>
      <c r="N35" s="11"/>
      <c r="O35" s="11"/>
      <c r="P35" s="11"/>
      <c r="Q35" s="11"/>
      <c r="R35" s="11"/>
      <c r="S35" s="11"/>
      <c r="T35" s="6"/>
      <c r="U35" s="6"/>
      <c r="V35" s="7" t="s">
        <v>305</v>
      </c>
      <c r="W35" s="7"/>
      <c r="X35" s="7" t="s">
        <v>308</v>
      </c>
      <c r="Y35" s="7"/>
      <c r="Z35" s="7"/>
      <c r="AA35" s="7">
        <v>2005</v>
      </c>
      <c r="AB35" s="7">
        <v>2020</v>
      </c>
    </row>
    <row r="36" spans="1:28" x14ac:dyDescent="0.25">
      <c r="A36" t="s">
        <v>152</v>
      </c>
      <c r="B36" t="s">
        <v>60</v>
      </c>
      <c r="C36" t="s">
        <v>60</v>
      </c>
      <c r="D36" t="s">
        <v>60</v>
      </c>
      <c r="E36" s="7" t="str">
        <f t="shared" si="0"/>
        <v>1 mois</v>
      </c>
      <c r="F36" s="24">
        <v>45231</v>
      </c>
      <c r="G36" s="24">
        <v>45260</v>
      </c>
      <c r="H36" s="7">
        <v>142</v>
      </c>
      <c r="I36" s="11"/>
      <c r="J36" s="11">
        <v>5</v>
      </c>
      <c r="K36" s="12"/>
      <c r="L36" s="17" t="s">
        <v>129</v>
      </c>
      <c r="M36" s="11"/>
      <c r="N36" s="11"/>
      <c r="O36" s="11"/>
      <c r="P36" s="11"/>
      <c r="Q36" s="11"/>
      <c r="R36" s="11"/>
      <c r="S36" s="11"/>
      <c r="T36" s="6"/>
      <c r="U36" s="6"/>
      <c r="V36" s="7" t="s">
        <v>305</v>
      </c>
      <c r="W36" s="7"/>
      <c r="X36" s="7" t="s">
        <v>308</v>
      </c>
      <c r="Y36" s="7"/>
      <c r="Z36" s="7"/>
      <c r="AA36" s="7">
        <v>2005</v>
      </c>
      <c r="AB36" s="7">
        <v>2020</v>
      </c>
    </row>
    <row r="37" spans="1:28" x14ac:dyDescent="0.25">
      <c r="A37" t="s">
        <v>153</v>
      </c>
      <c r="B37" t="s">
        <v>60</v>
      </c>
      <c r="C37" t="s">
        <v>60</v>
      </c>
      <c r="D37" t="s">
        <v>60</v>
      </c>
      <c r="E37" s="7" t="str">
        <f t="shared" si="0"/>
        <v>1 mois</v>
      </c>
      <c r="F37" s="24">
        <v>45231</v>
      </c>
      <c r="G37" s="24">
        <v>45260</v>
      </c>
      <c r="H37" s="7">
        <v>5</v>
      </c>
      <c r="I37" s="11"/>
      <c r="J37" s="11">
        <v>1</v>
      </c>
      <c r="K37" s="12"/>
      <c r="L37" s="17" t="s">
        <v>124</v>
      </c>
      <c r="M37" s="11"/>
      <c r="N37" s="11"/>
      <c r="O37" s="11"/>
      <c r="P37" s="11"/>
      <c r="Q37" s="11"/>
      <c r="R37" s="11"/>
      <c r="S37" s="11"/>
      <c r="T37" s="6"/>
      <c r="U37" s="6"/>
      <c r="V37" s="7" t="s">
        <v>305</v>
      </c>
      <c r="W37" s="7"/>
      <c r="X37" s="7" t="s">
        <v>308</v>
      </c>
      <c r="Y37" s="7"/>
      <c r="Z37" s="7"/>
      <c r="AA37" s="7">
        <v>2005</v>
      </c>
      <c r="AB37" s="7">
        <v>2020</v>
      </c>
    </row>
    <row r="38" spans="1:28" x14ac:dyDescent="0.25">
      <c r="A38" t="s">
        <v>126</v>
      </c>
      <c r="B38" t="s">
        <v>60</v>
      </c>
      <c r="C38" t="s">
        <v>60</v>
      </c>
      <c r="D38" t="s">
        <v>60</v>
      </c>
      <c r="E38" s="7" t="str">
        <f t="shared" si="0"/>
        <v>1 mois</v>
      </c>
      <c r="F38" s="24">
        <v>45231</v>
      </c>
      <c r="G38" s="24">
        <v>45260</v>
      </c>
      <c r="H38" s="7">
        <v>5</v>
      </c>
      <c r="I38" s="11"/>
      <c r="J38" s="11">
        <v>1</v>
      </c>
      <c r="K38" s="12"/>
      <c r="L38" s="17" t="s">
        <v>124</v>
      </c>
      <c r="M38" s="11"/>
      <c r="N38" s="11"/>
      <c r="O38" s="11"/>
      <c r="P38" s="11"/>
      <c r="Q38" s="11"/>
      <c r="R38" s="11"/>
      <c r="S38" s="11"/>
      <c r="T38" s="6"/>
      <c r="U38" s="6"/>
      <c r="V38" s="7" t="s">
        <v>305</v>
      </c>
      <c r="W38" s="7"/>
      <c r="X38" s="7" t="s">
        <v>308</v>
      </c>
      <c r="Y38" s="7"/>
      <c r="Z38" s="7"/>
      <c r="AA38" s="7">
        <v>2005</v>
      </c>
      <c r="AB38" s="7">
        <v>2020</v>
      </c>
    </row>
    <row r="39" spans="1:28" x14ac:dyDescent="0.25">
      <c r="A39" t="s">
        <v>154</v>
      </c>
      <c r="B39" t="s">
        <v>60</v>
      </c>
      <c r="C39" t="s">
        <v>60</v>
      </c>
      <c r="D39" t="s">
        <v>60</v>
      </c>
      <c r="E39" s="7" t="str">
        <f t="shared" si="0"/>
        <v>1 mois</v>
      </c>
      <c r="F39" s="24">
        <v>45231</v>
      </c>
      <c r="G39" s="24">
        <v>45260</v>
      </c>
      <c r="H39" s="7">
        <v>13</v>
      </c>
      <c r="I39" s="11"/>
      <c r="J39" s="11">
        <v>1</v>
      </c>
      <c r="K39" s="12"/>
      <c r="L39" s="17" t="s">
        <v>124</v>
      </c>
      <c r="M39" s="11"/>
      <c r="N39" s="11"/>
      <c r="O39" s="11"/>
      <c r="P39" s="11"/>
      <c r="Q39" s="11"/>
      <c r="R39" s="11"/>
      <c r="S39" s="11"/>
      <c r="T39" s="6"/>
      <c r="U39" s="6"/>
      <c r="V39" s="7" t="s">
        <v>305</v>
      </c>
      <c r="W39" s="7"/>
      <c r="X39" s="7" t="s">
        <v>308</v>
      </c>
      <c r="Y39" s="7"/>
      <c r="Z39" s="7"/>
      <c r="AA39" s="7">
        <v>2005</v>
      </c>
      <c r="AB39" s="7">
        <v>2020</v>
      </c>
    </row>
    <row r="40" spans="1:28" x14ac:dyDescent="0.25">
      <c r="A40" t="s">
        <v>155</v>
      </c>
      <c r="B40" t="s">
        <v>60</v>
      </c>
      <c r="C40" t="s">
        <v>60</v>
      </c>
      <c r="D40" t="s">
        <v>60</v>
      </c>
      <c r="E40" s="7" t="str">
        <f t="shared" si="0"/>
        <v>1 mois</v>
      </c>
      <c r="F40" s="24">
        <v>45231</v>
      </c>
      <c r="G40" s="24">
        <v>45260</v>
      </c>
      <c r="H40" s="7">
        <v>11</v>
      </c>
      <c r="I40" s="11"/>
      <c r="J40" s="11">
        <v>1</v>
      </c>
      <c r="K40" s="12"/>
      <c r="L40" s="17" t="s">
        <v>124</v>
      </c>
      <c r="M40" s="11"/>
      <c r="N40" s="11"/>
      <c r="O40" s="11"/>
      <c r="P40" s="11"/>
      <c r="Q40" s="11"/>
      <c r="R40" s="11"/>
      <c r="S40" s="11"/>
      <c r="T40" s="6"/>
      <c r="U40" s="6"/>
      <c r="V40" s="7" t="s">
        <v>305</v>
      </c>
      <c r="W40" s="7"/>
      <c r="X40" s="7" t="s">
        <v>308</v>
      </c>
      <c r="Y40" s="7"/>
      <c r="Z40" s="7"/>
      <c r="AA40" s="7">
        <v>2005</v>
      </c>
      <c r="AB40" s="7">
        <v>2020</v>
      </c>
    </row>
    <row r="41" spans="1:28" x14ac:dyDescent="0.25">
      <c r="A41" t="s">
        <v>156</v>
      </c>
      <c r="B41" t="s">
        <v>60</v>
      </c>
      <c r="C41" t="s">
        <v>60</v>
      </c>
      <c r="D41" t="s">
        <v>60</v>
      </c>
      <c r="E41" s="7" t="str">
        <f t="shared" si="0"/>
        <v>1 mois</v>
      </c>
      <c r="F41" s="24">
        <v>45231</v>
      </c>
      <c r="G41" s="24">
        <v>45260</v>
      </c>
      <c r="H41" s="7"/>
      <c r="I41" s="11"/>
      <c r="J41" s="11">
        <v>1</v>
      </c>
      <c r="K41" s="12"/>
      <c r="L41" s="17" t="s">
        <v>124</v>
      </c>
      <c r="M41" s="11"/>
      <c r="N41" s="11"/>
      <c r="O41" s="11"/>
      <c r="P41" s="11"/>
      <c r="Q41" s="11"/>
      <c r="R41" s="11"/>
      <c r="S41" s="11"/>
      <c r="T41" s="6"/>
      <c r="U41" s="6"/>
      <c r="V41" s="7" t="s">
        <v>305</v>
      </c>
      <c r="W41" s="7"/>
      <c r="X41" s="7" t="s">
        <v>308</v>
      </c>
      <c r="Y41" s="7"/>
      <c r="Z41" s="7"/>
      <c r="AA41" s="7">
        <v>2005</v>
      </c>
      <c r="AB41" s="7">
        <v>2020</v>
      </c>
    </row>
    <row r="42" spans="1:28" x14ac:dyDescent="0.25">
      <c r="A42" t="s">
        <v>157</v>
      </c>
      <c r="B42" t="s">
        <v>60</v>
      </c>
      <c r="C42" t="s">
        <v>60</v>
      </c>
      <c r="D42" t="s">
        <v>60</v>
      </c>
      <c r="E42" s="7" t="str">
        <f t="shared" si="0"/>
        <v>1 mois</v>
      </c>
      <c r="F42" s="24">
        <v>45231</v>
      </c>
      <c r="G42" s="24">
        <v>45260</v>
      </c>
      <c r="H42" s="7">
        <v>13</v>
      </c>
      <c r="I42" s="11"/>
      <c r="J42" s="11">
        <v>1</v>
      </c>
      <c r="K42" s="12"/>
      <c r="L42" s="17" t="s">
        <v>124</v>
      </c>
      <c r="M42" s="11"/>
      <c r="N42" s="11"/>
      <c r="O42" s="11"/>
      <c r="P42" s="11"/>
      <c r="Q42" s="11"/>
      <c r="R42" s="11"/>
      <c r="S42" s="11"/>
      <c r="T42" s="6"/>
      <c r="U42" s="6"/>
      <c r="V42" s="7" t="s">
        <v>305</v>
      </c>
      <c r="W42" s="7"/>
      <c r="X42" s="7" t="s">
        <v>308</v>
      </c>
      <c r="Y42" s="7"/>
      <c r="Z42" s="7"/>
      <c r="AA42" s="7">
        <v>2005</v>
      </c>
      <c r="AB42" s="7">
        <v>2020</v>
      </c>
    </row>
    <row r="43" spans="1:28" x14ac:dyDescent="0.25">
      <c r="A43" t="s">
        <v>158</v>
      </c>
      <c r="B43" t="s">
        <v>60</v>
      </c>
      <c r="C43" t="s">
        <v>60</v>
      </c>
      <c r="D43" t="s">
        <v>60</v>
      </c>
      <c r="E43" s="7" t="str">
        <f t="shared" si="0"/>
        <v>1 mois</v>
      </c>
      <c r="F43" s="24">
        <v>45231</v>
      </c>
      <c r="G43" s="24">
        <v>45260</v>
      </c>
      <c r="H43" s="7">
        <v>41</v>
      </c>
      <c r="I43" s="11"/>
      <c r="J43" s="11">
        <v>2</v>
      </c>
      <c r="K43" s="12"/>
      <c r="L43" s="17" t="s">
        <v>124</v>
      </c>
      <c r="M43" s="11"/>
      <c r="N43" s="11"/>
      <c r="O43" s="11"/>
      <c r="P43" s="11"/>
      <c r="Q43" s="11"/>
      <c r="R43" s="11"/>
      <c r="S43" s="11"/>
      <c r="T43" s="6"/>
      <c r="U43" s="6"/>
      <c r="V43" s="7" t="s">
        <v>305</v>
      </c>
      <c r="W43" s="7"/>
      <c r="X43" s="7" t="s">
        <v>308</v>
      </c>
      <c r="Y43" s="7"/>
      <c r="Z43" s="7"/>
      <c r="AA43" s="7">
        <v>2005</v>
      </c>
      <c r="AB43" s="7">
        <v>2020</v>
      </c>
    </row>
    <row r="44" spans="1:28" x14ac:dyDescent="0.25">
      <c r="A44" t="s">
        <v>159</v>
      </c>
      <c r="B44" t="s">
        <v>60</v>
      </c>
      <c r="C44" t="s">
        <v>60</v>
      </c>
      <c r="D44" t="s">
        <v>60</v>
      </c>
      <c r="E44" s="7" t="str">
        <f t="shared" si="0"/>
        <v>1 mois</v>
      </c>
      <c r="F44" s="24">
        <v>45231</v>
      </c>
      <c r="G44" s="24">
        <v>45260</v>
      </c>
      <c r="H44" s="7">
        <v>12</v>
      </c>
      <c r="I44" s="11"/>
      <c r="J44" s="11">
        <v>1</v>
      </c>
      <c r="K44" s="12"/>
      <c r="L44" s="17" t="s">
        <v>124</v>
      </c>
      <c r="M44" s="11"/>
      <c r="N44" s="11"/>
      <c r="O44" s="11"/>
      <c r="P44" s="11"/>
      <c r="Q44" s="11"/>
      <c r="R44" s="11"/>
      <c r="S44" s="11"/>
      <c r="T44" s="6"/>
      <c r="U44" s="6"/>
      <c r="V44" s="7" t="s">
        <v>305</v>
      </c>
      <c r="W44" s="7"/>
      <c r="X44" s="7" t="s">
        <v>308</v>
      </c>
      <c r="Y44" s="7"/>
      <c r="Z44" s="7"/>
      <c r="AA44" s="7">
        <v>2005</v>
      </c>
      <c r="AB44" s="7">
        <v>2020</v>
      </c>
    </row>
    <row r="45" spans="1:28" x14ac:dyDescent="0.25">
      <c r="A45" t="s">
        <v>160</v>
      </c>
      <c r="B45" t="s">
        <v>60</v>
      </c>
      <c r="C45" t="s">
        <v>60</v>
      </c>
      <c r="D45" t="s">
        <v>60</v>
      </c>
      <c r="E45" s="7" t="str">
        <f t="shared" si="0"/>
        <v>1 mois</v>
      </c>
      <c r="F45" s="24">
        <v>45231</v>
      </c>
      <c r="G45" s="24">
        <v>45260</v>
      </c>
      <c r="H45" s="7">
        <v>20.5</v>
      </c>
      <c r="I45" s="11"/>
      <c r="J45" s="11">
        <v>2</v>
      </c>
      <c r="K45" s="12"/>
      <c r="L45" s="17" t="s">
        <v>124</v>
      </c>
      <c r="M45" s="11"/>
      <c r="N45" s="11"/>
      <c r="O45" s="11"/>
      <c r="P45" s="11"/>
      <c r="Q45" s="11"/>
      <c r="R45" s="11"/>
      <c r="S45" s="11"/>
      <c r="T45" s="6"/>
      <c r="U45" s="6"/>
      <c r="V45" s="7" t="s">
        <v>305</v>
      </c>
      <c r="W45" s="7"/>
      <c r="X45" s="7" t="s">
        <v>308</v>
      </c>
      <c r="Y45" s="7"/>
      <c r="Z45" s="7"/>
      <c r="AA45" s="7">
        <v>2005</v>
      </c>
      <c r="AB45" s="7">
        <v>2020</v>
      </c>
    </row>
    <row r="46" spans="1:28" x14ac:dyDescent="0.25">
      <c r="A46" t="s">
        <v>161</v>
      </c>
      <c r="B46" t="s">
        <v>60</v>
      </c>
      <c r="C46" t="s">
        <v>60</v>
      </c>
      <c r="D46" t="s">
        <v>60</v>
      </c>
      <c r="E46" s="7" t="str">
        <f t="shared" si="0"/>
        <v>1 mois</v>
      </c>
      <c r="F46" s="24">
        <v>45231</v>
      </c>
      <c r="G46" s="24">
        <v>45260</v>
      </c>
      <c r="H46" s="7">
        <v>6</v>
      </c>
      <c r="I46" s="11"/>
      <c r="J46" s="11">
        <v>1</v>
      </c>
      <c r="K46" s="12"/>
      <c r="L46" s="17" t="s">
        <v>124</v>
      </c>
      <c r="M46" s="11"/>
      <c r="N46" s="11"/>
      <c r="O46" s="11"/>
      <c r="P46" s="11"/>
      <c r="Q46" s="11"/>
      <c r="R46" s="11"/>
      <c r="S46" s="11"/>
      <c r="T46" s="6"/>
      <c r="U46" s="6"/>
      <c r="V46" s="7" t="s">
        <v>305</v>
      </c>
      <c r="W46" s="7"/>
      <c r="X46" s="7" t="s">
        <v>308</v>
      </c>
      <c r="Y46" s="7"/>
      <c r="Z46" s="7"/>
      <c r="AA46" s="7">
        <v>2005</v>
      </c>
      <c r="AB46" s="7">
        <v>2020</v>
      </c>
    </row>
    <row r="47" spans="1:28" x14ac:dyDescent="0.25">
      <c r="A47" t="s">
        <v>162</v>
      </c>
      <c r="B47" t="s">
        <v>60</v>
      </c>
      <c r="C47" t="s">
        <v>60</v>
      </c>
      <c r="D47" t="s">
        <v>60</v>
      </c>
      <c r="E47" s="7" t="str">
        <f t="shared" si="0"/>
        <v>1 mois</v>
      </c>
      <c r="F47" s="24">
        <v>45231</v>
      </c>
      <c r="G47" s="24">
        <v>45260</v>
      </c>
      <c r="H47" s="7">
        <v>3.8</v>
      </c>
      <c r="I47" s="11"/>
      <c r="J47" s="11">
        <v>1</v>
      </c>
      <c r="K47" s="12"/>
      <c r="L47" s="17" t="s">
        <v>124</v>
      </c>
      <c r="M47" s="11"/>
      <c r="N47" s="11"/>
      <c r="O47" s="11"/>
      <c r="P47" s="11"/>
      <c r="Q47" s="11"/>
      <c r="R47" s="11"/>
      <c r="S47" s="11"/>
      <c r="T47" s="6"/>
      <c r="U47" s="6"/>
      <c r="V47" s="7" t="s">
        <v>305</v>
      </c>
      <c r="W47" s="7"/>
      <c r="X47" s="7" t="s">
        <v>308</v>
      </c>
      <c r="Y47" s="7"/>
      <c r="Z47" s="7"/>
      <c r="AA47" s="7">
        <v>2005</v>
      </c>
      <c r="AB47" s="7">
        <v>2020</v>
      </c>
    </row>
    <row r="48" spans="1:28" x14ac:dyDescent="0.25">
      <c r="A48" t="s">
        <v>163</v>
      </c>
      <c r="B48" t="s">
        <v>60</v>
      </c>
      <c r="C48" t="s">
        <v>60</v>
      </c>
      <c r="D48" t="s">
        <v>60</v>
      </c>
      <c r="E48" s="7" t="str">
        <f t="shared" si="0"/>
        <v>1 mois</v>
      </c>
      <c r="F48" s="24">
        <v>45231</v>
      </c>
      <c r="G48" s="24">
        <v>45260</v>
      </c>
      <c r="H48" s="7">
        <v>6</v>
      </c>
      <c r="I48" s="11"/>
      <c r="J48" s="11">
        <v>1</v>
      </c>
      <c r="K48" s="12"/>
      <c r="L48" s="17" t="s">
        <v>124</v>
      </c>
      <c r="M48" s="11"/>
      <c r="N48" s="11"/>
      <c r="O48" s="11"/>
      <c r="P48" s="11"/>
      <c r="Q48" s="11"/>
      <c r="R48" s="11"/>
      <c r="S48" s="11"/>
      <c r="T48" s="6"/>
      <c r="U48" s="6"/>
      <c r="V48" s="7" t="s">
        <v>305</v>
      </c>
      <c r="W48" s="7"/>
      <c r="X48" s="7" t="s">
        <v>308</v>
      </c>
      <c r="Y48" s="7"/>
      <c r="Z48" s="7"/>
      <c r="AA48" s="7">
        <v>2005</v>
      </c>
      <c r="AB48" s="7">
        <v>2020</v>
      </c>
    </row>
    <row r="49" spans="1:28" x14ac:dyDescent="0.25">
      <c r="A49" t="s">
        <v>127</v>
      </c>
      <c r="B49" t="s">
        <v>60</v>
      </c>
      <c r="C49" t="s">
        <v>60</v>
      </c>
      <c r="D49" t="s">
        <v>60</v>
      </c>
      <c r="E49" s="7" t="str">
        <f t="shared" si="0"/>
        <v>1 mois</v>
      </c>
      <c r="F49" s="24">
        <v>45231</v>
      </c>
      <c r="G49" s="24">
        <v>45260</v>
      </c>
      <c r="H49" s="7">
        <v>36</v>
      </c>
      <c r="I49" s="11"/>
      <c r="J49" s="11">
        <v>2</v>
      </c>
      <c r="K49" s="12"/>
      <c r="L49" s="17" t="s">
        <v>124</v>
      </c>
      <c r="M49" s="11"/>
      <c r="N49" s="11"/>
      <c r="O49" s="11"/>
      <c r="P49" s="11"/>
      <c r="Q49" s="11"/>
      <c r="R49" s="11"/>
      <c r="S49" s="11"/>
      <c r="T49" s="6"/>
      <c r="U49" s="6"/>
      <c r="V49" s="7" t="s">
        <v>305</v>
      </c>
      <c r="W49" s="7"/>
      <c r="X49" s="7" t="s">
        <v>308</v>
      </c>
      <c r="Y49" s="7"/>
      <c r="Z49" s="7"/>
      <c r="AA49" s="7">
        <v>2005</v>
      </c>
      <c r="AB49" s="7">
        <v>2020</v>
      </c>
    </row>
    <row r="50" spans="1:28" x14ac:dyDescent="0.25">
      <c r="A50" t="s">
        <v>164</v>
      </c>
      <c r="B50" t="s">
        <v>60</v>
      </c>
      <c r="C50" t="s">
        <v>60</v>
      </c>
      <c r="D50" t="s">
        <v>60</v>
      </c>
      <c r="E50" s="7" t="str">
        <f t="shared" si="0"/>
        <v>1 mois</v>
      </c>
      <c r="F50" s="24">
        <v>45231</v>
      </c>
      <c r="G50" s="24">
        <v>45260</v>
      </c>
      <c r="H50" s="7">
        <v>10.199999999999999</v>
      </c>
      <c r="I50" s="11"/>
      <c r="J50" s="11">
        <v>1</v>
      </c>
      <c r="K50" s="12"/>
      <c r="L50" s="17" t="s">
        <v>124</v>
      </c>
      <c r="M50" s="11"/>
      <c r="N50" s="11"/>
      <c r="O50" s="11"/>
      <c r="P50" s="11"/>
      <c r="Q50" s="11"/>
      <c r="R50" s="11"/>
      <c r="S50" s="11"/>
      <c r="T50" s="6"/>
      <c r="U50" s="6"/>
      <c r="V50" s="7" t="s">
        <v>305</v>
      </c>
      <c r="W50" s="7"/>
      <c r="X50" s="7" t="s">
        <v>308</v>
      </c>
      <c r="Y50" s="7"/>
      <c r="Z50" s="7"/>
      <c r="AA50" s="7">
        <v>2005</v>
      </c>
      <c r="AB50" s="7">
        <v>2020</v>
      </c>
    </row>
    <row r="51" spans="1:28" x14ac:dyDescent="0.25">
      <c r="A51" t="s">
        <v>165</v>
      </c>
      <c r="B51" t="s">
        <v>60</v>
      </c>
      <c r="C51" t="s">
        <v>60</v>
      </c>
      <c r="D51" t="s">
        <v>60</v>
      </c>
      <c r="E51" s="7" t="str">
        <f t="shared" si="0"/>
        <v>1 mois</v>
      </c>
      <c r="F51" s="24">
        <v>45231</v>
      </c>
      <c r="G51" s="24">
        <v>45260</v>
      </c>
      <c r="H51" s="7">
        <v>2.8</v>
      </c>
      <c r="I51" s="11"/>
      <c r="J51" s="11">
        <v>1</v>
      </c>
      <c r="K51" s="12"/>
      <c r="L51" s="17" t="s">
        <v>124</v>
      </c>
      <c r="M51" s="11"/>
      <c r="N51" s="11"/>
      <c r="O51" s="11"/>
      <c r="P51" s="11"/>
      <c r="Q51" s="11"/>
      <c r="R51" s="11"/>
      <c r="S51" s="11"/>
      <c r="T51" s="6"/>
      <c r="U51" s="6"/>
      <c r="V51" s="7" t="s">
        <v>305</v>
      </c>
      <c r="W51" s="7"/>
      <c r="X51" s="7" t="s">
        <v>308</v>
      </c>
      <c r="Y51" s="7"/>
      <c r="Z51" s="7"/>
      <c r="AA51" s="7">
        <v>2005</v>
      </c>
      <c r="AB51" s="7">
        <v>2020</v>
      </c>
    </row>
    <row r="52" spans="1:28" x14ac:dyDescent="0.25">
      <c r="A52" s="18" t="s">
        <v>166</v>
      </c>
      <c r="B52" t="s">
        <v>60</v>
      </c>
      <c r="C52" t="s">
        <v>60</v>
      </c>
      <c r="D52" t="s">
        <v>60</v>
      </c>
      <c r="E52" s="7" t="str">
        <f t="shared" si="0"/>
        <v>1 mois</v>
      </c>
      <c r="F52" s="24">
        <v>45231</v>
      </c>
      <c r="G52" s="24">
        <v>45260</v>
      </c>
      <c r="H52" s="7">
        <v>387</v>
      </c>
      <c r="I52" s="11"/>
      <c r="J52" s="11">
        <v>13</v>
      </c>
      <c r="K52" s="12"/>
      <c r="L52" s="17" t="s">
        <v>129</v>
      </c>
      <c r="M52" s="11"/>
      <c r="N52" s="11"/>
      <c r="O52" s="11"/>
      <c r="P52" s="11"/>
      <c r="Q52" s="11"/>
      <c r="R52" s="11"/>
      <c r="S52" s="11"/>
      <c r="T52" s="6" t="s">
        <v>339</v>
      </c>
      <c r="U52" s="6" t="s">
        <v>340</v>
      </c>
      <c r="V52" s="7" t="s">
        <v>305</v>
      </c>
      <c r="W52" s="7">
        <v>14</v>
      </c>
      <c r="X52" s="7" t="s">
        <v>309</v>
      </c>
      <c r="Y52" s="7">
        <v>35</v>
      </c>
      <c r="Z52" s="7">
        <v>0</v>
      </c>
      <c r="AA52" s="7">
        <v>2005</v>
      </c>
      <c r="AB52" s="7">
        <v>2020</v>
      </c>
    </row>
    <row r="53" spans="1:28" x14ac:dyDescent="0.25">
      <c r="A53" t="s">
        <v>167</v>
      </c>
      <c r="B53" t="s">
        <v>60</v>
      </c>
      <c r="C53" t="s">
        <v>60</v>
      </c>
      <c r="D53" t="s">
        <v>60</v>
      </c>
      <c r="E53" s="7" t="str">
        <f t="shared" si="0"/>
        <v>1 mois</v>
      </c>
      <c r="F53" s="24">
        <v>45231</v>
      </c>
      <c r="G53" s="24">
        <v>45260</v>
      </c>
      <c r="H53" s="7">
        <v>18</v>
      </c>
      <c r="I53" s="11"/>
      <c r="J53" s="11">
        <v>1</v>
      </c>
      <c r="K53" s="12"/>
      <c r="L53" s="17" t="s">
        <v>124</v>
      </c>
      <c r="M53" s="11"/>
      <c r="N53" s="11"/>
      <c r="O53" s="11"/>
      <c r="P53" s="11"/>
      <c r="Q53" s="11"/>
      <c r="R53" s="11"/>
      <c r="S53" s="11"/>
      <c r="T53" s="6"/>
      <c r="U53" s="6"/>
      <c r="V53" s="7" t="s">
        <v>305</v>
      </c>
      <c r="W53" s="7"/>
      <c r="X53" s="7" t="s">
        <v>308</v>
      </c>
      <c r="Y53" s="7"/>
      <c r="Z53" s="7"/>
      <c r="AA53" s="7">
        <v>2005</v>
      </c>
      <c r="AB53" s="7">
        <v>2020</v>
      </c>
    </row>
    <row r="54" spans="1:28" x14ac:dyDescent="0.25">
      <c r="A54" t="s">
        <v>168</v>
      </c>
      <c r="B54" t="s">
        <v>60</v>
      </c>
      <c r="C54" t="s">
        <v>60</v>
      </c>
      <c r="D54" t="s">
        <v>60</v>
      </c>
      <c r="E54" s="7" t="str">
        <f t="shared" si="0"/>
        <v>1 mois</v>
      </c>
      <c r="F54" s="24">
        <v>45231</v>
      </c>
      <c r="G54" s="24">
        <v>45260</v>
      </c>
      <c r="H54" s="7">
        <v>14</v>
      </c>
      <c r="I54" s="11"/>
      <c r="J54" s="11">
        <v>1</v>
      </c>
      <c r="K54" s="12"/>
      <c r="L54" s="17" t="s">
        <v>124</v>
      </c>
      <c r="M54" s="11"/>
      <c r="N54" s="11"/>
      <c r="O54" s="11"/>
      <c r="P54" s="11"/>
      <c r="Q54" s="11"/>
      <c r="R54" s="11"/>
      <c r="S54" s="11"/>
      <c r="T54" s="6"/>
      <c r="U54" s="6"/>
      <c r="V54" s="7" t="s">
        <v>305</v>
      </c>
      <c r="W54" s="7"/>
      <c r="X54" s="7" t="s">
        <v>308</v>
      </c>
      <c r="Y54" s="7"/>
      <c r="Z54" s="7"/>
      <c r="AA54" s="7">
        <v>2005</v>
      </c>
      <c r="AB54" s="7">
        <v>2020</v>
      </c>
    </row>
    <row r="55" spans="1:28" x14ac:dyDescent="0.25">
      <c r="A55" t="s">
        <v>169</v>
      </c>
      <c r="B55" t="s">
        <v>60</v>
      </c>
      <c r="C55" t="s">
        <v>60</v>
      </c>
      <c r="D55" t="s">
        <v>60</v>
      </c>
      <c r="E55" s="7" t="str">
        <f t="shared" si="0"/>
        <v>1 mois</v>
      </c>
      <c r="F55" s="24">
        <v>45231</v>
      </c>
      <c r="G55" s="24">
        <v>45260</v>
      </c>
      <c r="H55" s="7">
        <v>10</v>
      </c>
      <c r="I55" s="11"/>
      <c r="J55" s="11">
        <v>1</v>
      </c>
      <c r="K55" s="12"/>
      <c r="L55" s="17" t="s">
        <v>124</v>
      </c>
      <c r="M55" s="11"/>
      <c r="N55" s="11"/>
      <c r="O55" s="11"/>
      <c r="P55" s="11"/>
      <c r="Q55" s="11"/>
      <c r="R55" s="11"/>
      <c r="S55" s="11"/>
      <c r="T55" s="6"/>
      <c r="U55" s="6"/>
      <c r="V55" s="7" t="s">
        <v>305</v>
      </c>
      <c r="W55" s="7"/>
      <c r="X55" s="7" t="s">
        <v>308</v>
      </c>
      <c r="Y55" s="7"/>
      <c r="Z55" s="7"/>
      <c r="AA55" s="7">
        <v>2005</v>
      </c>
      <c r="AB55" s="7">
        <v>2020</v>
      </c>
    </row>
    <row r="56" spans="1:28" x14ac:dyDescent="0.25">
      <c r="A56" t="s">
        <v>128</v>
      </c>
      <c r="B56" t="s">
        <v>60</v>
      </c>
      <c r="C56" t="s">
        <v>60</v>
      </c>
      <c r="D56" t="s">
        <v>60</v>
      </c>
      <c r="E56" s="7" t="str">
        <f t="shared" si="0"/>
        <v>1 mois</v>
      </c>
      <c r="F56" s="24">
        <v>45231</v>
      </c>
      <c r="G56" s="24">
        <v>45260</v>
      </c>
      <c r="H56" s="7">
        <v>20</v>
      </c>
      <c r="I56" s="11"/>
      <c r="J56" s="11">
        <v>1</v>
      </c>
      <c r="K56" s="12"/>
      <c r="L56" s="17" t="s">
        <v>124</v>
      </c>
      <c r="M56" s="11"/>
      <c r="N56" s="11"/>
      <c r="O56" s="11"/>
      <c r="P56" s="11"/>
      <c r="Q56" s="11"/>
      <c r="R56" s="11"/>
      <c r="S56" s="11"/>
      <c r="T56" s="6"/>
      <c r="U56" s="6"/>
      <c r="V56" s="7" t="s">
        <v>305</v>
      </c>
      <c r="W56" s="7"/>
      <c r="X56" s="7" t="s">
        <v>308</v>
      </c>
      <c r="Y56" s="7"/>
      <c r="Z56" s="7"/>
      <c r="AA56" s="7">
        <v>2005</v>
      </c>
      <c r="AB56" s="7">
        <v>2020</v>
      </c>
    </row>
    <row r="57" spans="1:28" x14ac:dyDescent="0.25">
      <c r="A57" t="s">
        <v>170</v>
      </c>
      <c r="B57" t="s">
        <v>60</v>
      </c>
      <c r="C57" t="s">
        <v>60</v>
      </c>
      <c r="D57" t="s">
        <v>60</v>
      </c>
      <c r="E57" s="7" t="str">
        <f t="shared" si="0"/>
        <v>1 mois</v>
      </c>
      <c r="F57" s="24">
        <v>45231</v>
      </c>
      <c r="G57" s="24">
        <v>45260</v>
      </c>
      <c r="H57" s="7">
        <v>11</v>
      </c>
      <c r="I57" s="11"/>
      <c r="J57" s="11">
        <v>1</v>
      </c>
      <c r="K57" s="12"/>
      <c r="L57" s="17" t="s">
        <v>124</v>
      </c>
      <c r="M57" s="11"/>
      <c r="N57" s="11"/>
      <c r="O57" s="11"/>
      <c r="P57" s="11"/>
      <c r="Q57" s="11"/>
      <c r="R57" s="11"/>
      <c r="S57" s="11"/>
      <c r="T57" s="6"/>
      <c r="U57" s="6"/>
      <c r="V57" s="7" t="s">
        <v>305</v>
      </c>
      <c r="W57" s="7"/>
      <c r="X57" s="7" t="s">
        <v>308</v>
      </c>
      <c r="Y57" s="7"/>
      <c r="Z57" s="7"/>
      <c r="AA57" s="7">
        <v>2005</v>
      </c>
      <c r="AB57" s="7">
        <v>2020</v>
      </c>
    </row>
    <row r="58" spans="1:28" x14ac:dyDescent="0.25">
      <c r="A58" s="18" t="s">
        <v>171</v>
      </c>
      <c r="B58" t="s">
        <v>60</v>
      </c>
      <c r="C58" t="s">
        <v>60</v>
      </c>
      <c r="D58" t="s">
        <v>60</v>
      </c>
      <c r="E58" s="7" t="str">
        <f t="shared" si="0"/>
        <v>1 mois</v>
      </c>
      <c r="F58" s="24">
        <v>45200</v>
      </c>
      <c r="G58" s="24">
        <v>45230</v>
      </c>
      <c r="H58" s="7">
        <v>24</v>
      </c>
      <c r="I58" s="11">
        <v>44</v>
      </c>
      <c r="J58" s="11" t="s">
        <v>177</v>
      </c>
      <c r="K58" s="12">
        <v>45047</v>
      </c>
      <c r="L58" s="17" t="s">
        <v>129</v>
      </c>
      <c r="M58" s="11">
        <f>2.7*44</f>
        <v>118.80000000000001</v>
      </c>
      <c r="N58" s="11">
        <v>20.6</v>
      </c>
      <c r="O58" s="11" t="s">
        <v>202</v>
      </c>
      <c r="P58" s="11" t="s">
        <v>203</v>
      </c>
      <c r="Q58" s="11" t="s">
        <v>203</v>
      </c>
      <c r="R58" s="11" t="s">
        <v>203</v>
      </c>
      <c r="S58" s="11" t="s">
        <v>203</v>
      </c>
      <c r="T58" s="6" t="s">
        <v>306</v>
      </c>
      <c r="U58" s="6" t="s">
        <v>307</v>
      </c>
      <c r="V58" s="7" t="s">
        <v>305</v>
      </c>
      <c r="W58" s="7">
        <v>14</v>
      </c>
      <c r="X58" s="7" t="s">
        <v>309</v>
      </c>
      <c r="Y58" s="7">
        <v>35</v>
      </c>
      <c r="Z58" s="7">
        <v>0</v>
      </c>
      <c r="AA58" s="7">
        <v>2005</v>
      </c>
      <c r="AB58" s="7">
        <v>2020</v>
      </c>
    </row>
    <row r="59" spans="1:28" x14ac:dyDescent="0.25">
      <c r="A59" t="s">
        <v>172</v>
      </c>
      <c r="B59" t="s">
        <v>60</v>
      </c>
      <c r="C59" t="s">
        <v>60</v>
      </c>
      <c r="D59" t="s">
        <v>60</v>
      </c>
      <c r="E59" s="7" t="str">
        <f t="shared" si="0"/>
        <v>1 mois</v>
      </c>
      <c r="F59" s="24">
        <v>45231</v>
      </c>
      <c r="G59" s="24">
        <v>45260</v>
      </c>
      <c r="H59" s="7">
        <v>6</v>
      </c>
      <c r="I59" s="11"/>
      <c r="J59" s="11">
        <v>1</v>
      </c>
      <c r="K59" s="12"/>
      <c r="L59" s="17" t="s">
        <v>124</v>
      </c>
      <c r="M59" s="11"/>
      <c r="N59" s="11"/>
      <c r="O59" s="11"/>
      <c r="P59" s="11"/>
      <c r="Q59" s="11"/>
      <c r="R59" s="11"/>
      <c r="S59" s="11"/>
      <c r="T59" s="6"/>
      <c r="U59" s="6"/>
      <c r="V59" s="7" t="s">
        <v>305</v>
      </c>
      <c r="W59" s="7"/>
      <c r="X59" s="7" t="s">
        <v>308</v>
      </c>
      <c r="Y59" s="7"/>
      <c r="Z59" s="7"/>
      <c r="AA59" s="7">
        <v>2005</v>
      </c>
      <c r="AB59" s="7">
        <v>2020</v>
      </c>
    </row>
    <row r="60" spans="1:28" x14ac:dyDescent="0.25">
      <c r="A60" t="s">
        <v>173</v>
      </c>
      <c r="B60" t="s">
        <v>60</v>
      </c>
      <c r="C60" t="s">
        <v>60</v>
      </c>
      <c r="D60" t="s">
        <v>60</v>
      </c>
      <c r="E60" s="7" t="str">
        <f t="shared" si="0"/>
        <v>1 mois</v>
      </c>
      <c r="F60" s="24">
        <v>45231</v>
      </c>
      <c r="G60" s="24">
        <v>45260</v>
      </c>
      <c r="H60" s="7">
        <v>36</v>
      </c>
      <c r="I60" s="11"/>
      <c r="J60" s="11">
        <v>1</v>
      </c>
      <c r="K60" s="12"/>
      <c r="L60" s="17" t="s">
        <v>124</v>
      </c>
      <c r="M60" s="11"/>
      <c r="N60" s="11"/>
      <c r="O60" s="11"/>
      <c r="P60" s="11"/>
      <c r="Q60" s="11"/>
      <c r="R60" s="11"/>
      <c r="S60" s="11"/>
      <c r="T60" s="6"/>
      <c r="U60" s="6"/>
      <c r="V60" s="7" t="s">
        <v>305</v>
      </c>
      <c r="W60" s="7"/>
      <c r="X60" s="7" t="s">
        <v>308</v>
      </c>
      <c r="Y60" s="7"/>
      <c r="Z60" s="7"/>
      <c r="AA60" s="7">
        <v>2005</v>
      </c>
      <c r="AB60" s="7">
        <v>2020</v>
      </c>
    </row>
    <row r="61" spans="1:28" x14ac:dyDescent="0.25">
      <c r="A61" t="s">
        <v>174</v>
      </c>
      <c r="B61" t="s">
        <v>60</v>
      </c>
      <c r="C61" t="s">
        <v>60</v>
      </c>
      <c r="D61" t="s">
        <v>60</v>
      </c>
      <c r="E61" s="7" t="str">
        <f t="shared" si="0"/>
        <v>1 mois</v>
      </c>
      <c r="F61" s="24">
        <v>45231</v>
      </c>
      <c r="G61" s="24">
        <v>45260</v>
      </c>
      <c r="H61" s="7">
        <v>40</v>
      </c>
      <c r="I61" s="11"/>
      <c r="J61" s="11">
        <v>2</v>
      </c>
      <c r="K61" s="12"/>
      <c r="L61" s="17" t="s">
        <v>124</v>
      </c>
      <c r="M61" s="11"/>
      <c r="N61" s="11"/>
      <c r="O61" s="11"/>
      <c r="P61" s="11"/>
      <c r="Q61" s="11"/>
      <c r="R61" s="11"/>
      <c r="S61" s="11"/>
      <c r="T61" s="6"/>
      <c r="U61" s="6"/>
      <c r="V61" s="7" t="s">
        <v>305</v>
      </c>
      <c r="W61" s="7"/>
      <c r="X61" s="7" t="s">
        <v>308</v>
      </c>
      <c r="Y61" s="7"/>
      <c r="Z61" s="7"/>
      <c r="AA61" s="7">
        <v>2005</v>
      </c>
      <c r="AB61" s="7">
        <v>2020</v>
      </c>
    </row>
    <row r="62" spans="1:28" x14ac:dyDescent="0.25">
      <c r="A62" t="s">
        <v>431</v>
      </c>
      <c r="B62" t="s">
        <v>60</v>
      </c>
      <c r="C62" t="s">
        <v>60</v>
      </c>
      <c r="D62" t="s">
        <v>60</v>
      </c>
      <c r="E62" s="7" t="str">
        <f>IF(G62-F62&gt;31,"3 mois", "1 mois")</f>
        <v>1 mois</v>
      </c>
      <c r="F62" s="24">
        <v>45413</v>
      </c>
      <c r="G62" s="24">
        <v>45443</v>
      </c>
      <c r="H62" s="7">
        <v>61.02</v>
      </c>
      <c r="I62" s="11">
        <v>108</v>
      </c>
      <c r="J62" s="11" t="s">
        <v>432</v>
      </c>
      <c r="K62" s="12">
        <v>45399</v>
      </c>
      <c r="L62" s="17" t="s">
        <v>129</v>
      </c>
      <c r="M62" s="11"/>
      <c r="N62" s="11"/>
      <c r="O62" s="11" t="s">
        <v>433</v>
      </c>
      <c r="P62" s="11"/>
      <c r="Q62" s="11"/>
      <c r="R62" s="11"/>
      <c r="S62" s="11"/>
      <c r="T62" s="6" t="s">
        <v>434</v>
      </c>
      <c r="U62" s="6" t="s">
        <v>435</v>
      </c>
      <c r="V62" s="7" t="s">
        <v>305</v>
      </c>
      <c r="W62" s="7">
        <v>14</v>
      </c>
      <c r="X62" s="7" t="s">
        <v>308</v>
      </c>
      <c r="Y62" s="7">
        <v>35</v>
      </c>
      <c r="Z62" s="7">
        <v>0</v>
      </c>
      <c r="AA62" s="7">
        <v>2005</v>
      </c>
      <c r="AB62" s="7">
        <v>2020</v>
      </c>
    </row>
  </sheetData>
  <phoneticPr fontId="2" type="noConversion"/>
  <conditionalFormatting sqref="B1:E62">
    <cfRule type="cellIs" dxfId="7" priority="5" operator="equal">
      <formula>"Oui"</formula>
    </cfRule>
  </conditionalFormatting>
  <conditionalFormatting sqref="H1:AB1">
    <cfRule type="cellIs" dxfId="6" priority="1" operator="equal">
      <formula>"Oui"</formula>
    </cfRule>
  </conditionalFormatting>
  <dataValidations count="5">
    <dataValidation type="list" allowBlank="1" showInputMessage="1" showErrorMessage="1" sqref="B2:D62" xr:uid="{00000000-0002-0000-0100-000000000000}">
      <formula1>"Oui, Non"</formula1>
    </dataValidation>
    <dataValidation type="list" allowBlank="1" showInputMessage="1" showErrorMessage="1" sqref="L2:L62" xr:uid="{00000000-0002-0000-0100-000001000000}">
      <formula1>"API,csv"</formula1>
    </dataValidation>
    <dataValidation type="list" allowBlank="1" showInputMessage="1" showErrorMessage="1" sqref="E2:E62" xr:uid="{00000000-0002-0000-0100-000002000000}">
      <formula1>"1 mois, 3 mois"</formula1>
    </dataValidation>
    <dataValidation type="list" allowBlank="1" showInputMessage="1" showErrorMessage="1" sqref="V2:V62" xr:uid="{00000000-0002-0000-0100-000003000000}">
      <formula1>"crystSi,CIS,CdTe"</formula1>
    </dataValidation>
    <dataValidation type="list" allowBlank="1" showInputMessage="1" showErrorMessage="1" sqref="X2:X62" xr:uid="{00000000-0002-0000-0100-000004000000}">
      <formula1>"free,building"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A8"/>
  <sheetViews>
    <sheetView topLeftCell="E1" workbookViewId="0">
      <selection activeCell="N13" sqref="N13"/>
    </sheetView>
  </sheetViews>
  <sheetFormatPr baseColWidth="10" defaultRowHeight="15" x14ac:dyDescent="0.25"/>
  <cols>
    <col min="1" max="1" width="22.7109375" customWidth="1"/>
    <col min="6" max="7" width="11.5703125" style="2"/>
  </cols>
  <sheetData>
    <row r="1" spans="1:27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2" t="s">
        <v>1</v>
      </c>
      <c r="G1" s="2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246</v>
      </c>
      <c r="S1" s="5" t="s">
        <v>296</v>
      </c>
      <c r="T1" s="5" t="s">
        <v>297</v>
      </c>
      <c r="U1" t="s">
        <v>298</v>
      </c>
      <c r="V1" t="s">
        <v>299</v>
      </c>
      <c r="W1" t="s">
        <v>300</v>
      </c>
      <c r="X1" t="s">
        <v>301</v>
      </c>
      <c r="Y1" t="s">
        <v>304</v>
      </c>
      <c r="Z1" t="s">
        <v>302</v>
      </c>
      <c r="AA1" t="s">
        <v>303</v>
      </c>
    </row>
    <row r="2" spans="1:27" x14ac:dyDescent="0.25">
      <c r="A2" t="s">
        <v>310</v>
      </c>
      <c r="B2" t="s">
        <v>60</v>
      </c>
      <c r="C2" t="s">
        <v>60</v>
      </c>
      <c r="D2" t="s">
        <v>60</v>
      </c>
      <c r="E2" s="6" t="str">
        <f>IF(G2-F2&gt;31,"3 mois", "1 mois")</f>
        <v>1 mois</v>
      </c>
      <c r="F2" s="10">
        <v>45047</v>
      </c>
      <c r="G2" s="10">
        <v>45077</v>
      </c>
      <c r="H2" s="7">
        <v>119.14</v>
      </c>
      <c r="I2" s="8"/>
      <c r="J2" s="8"/>
      <c r="K2" s="9">
        <v>45078</v>
      </c>
      <c r="L2" s="8" t="s">
        <v>129</v>
      </c>
      <c r="M2" s="8"/>
      <c r="N2" s="8"/>
      <c r="O2" s="8"/>
      <c r="P2" s="8"/>
      <c r="Q2" s="8"/>
      <c r="R2" s="8">
        <v>1000</v>
      </c>
      <c r="S2" s="6"/>
      <c r="T2" s="6"/>
      <c r="U2" s="7" t="s">
        <v>305</v>
      </c>
      <c r="V2" s="7">
        <v>14</v>
      </c>
      <c r="W2" s="7" t="s">
        <v>308</v>
      </c>
      <c r="X2" s="7">
        <v>35</v>
      </c>
      <c r="Y2" s="7">
        <v>0</v>
      </c>
      <c r="Z2" s="7">
        <v>2005</v>
      </c>
      <c r="AA2" s="7">
        <v>2020</v>
      </c>
    </row>
    <row r="3" spans="1:27" x14ac:dyDescent="0.25">
      <c r="A3" s="1" t="s">
        <v>311</v>
      </c>
      <c r="B3" t="s">
        <v>60</v>
      </c>
      <c r="C3" t="s">
        <v>60</v>
      </c>
      <c r="D3" t="s">
        <v>60</v>
      </c>
      <c r="E3" s="6" t="str">
        <f t="shared" ref="E3:E8" si="0">IF(G3-F3&gt;31,"3 mois", "1 mois")</f>
        <v>1 mois</v>
      </c>
      <c r="F3" s="10">
        <v>45078</v>
      </c>
      <c r="G3" s="10">
        <v>45107</v>
      </c>
      <c r="H3" s="7">
        <v>120</v>
      </c>
      <c r="I3" s="8"/>
      <c r="J3" s="8"/>
      <c r="K3" s="9">
        <v>45078</v>
      </c>
      <c r="L3" s="8" t="s">
        <v>129</v>
      </c>
      <c r="M3" s="8"/>
      <c r="N3" s="8"/>
      <c r="O3" s="8"/>
      <c r="P3" s="8"/>
      <c r="Q3" s="8"/>
      <c r="R3" s="8">
        <v>1000</v>
      </c>
      <c r="S3" s="6" t="s">
        <v>316</v>
      </c>
      <c r="T3" s="6" t="s">
        <v>317</v>
      </c>
      <c r="U3" s="7" t="s">
        <v>305</v>
      </c>
      <c r="V3" s="7">
        <v>14</v>
      </c>
      <c r="W3" s="7" t="s">
        <v>308</v>
      </c>
      <c r="X3" s="7">
        <v>35</v>
      </c>
      <c r="Y3" s="7">
        <v>0</v>
      </c>
      <c r="Z3" s="7">
        <v>2005</v>
      </c>
      <c r="AA3" s="7">
        <v>2020</v>
      </c>
    </row>
    <row r="4" spans="1:27" x14ac:dyDescent="0.25">
      <c r="A4" t="s">
        <v>232</v>
      </c>
      <c r="B4" t="s">
        <v>60</v>
      </c>
      <c r="C4" t="s">
        <v>60</v>
      </c>
      <c r="D4" t="s">
        <v>60</v>
      </c>
      <c r="E4" s="6" t="str">
        <f t="shared" si="0"/>
        <v>1 mois</v>
      </c>
      <c r="F4" s="10">
        <v>45078</v>
      </c>
      <c r="G4" s="10">
        <v>45107</v>
      </c>
      <c r="H4" s="7">
        <v>281</v>
      </c>
      <c r="I4" s="8"/>
      <c r="J4" s="8"/>
      <c r="K4" s="9">
        <v>45078</v>
      </c>
      <c r="L4" s="8" t="s">
        <v>129</v>
      </c>
      <c r="M4" s="8"/>
      <c r="N4" s="8"/>
      <c r="O4" s="8"/>
      <c r="P4" s="8"/>
      <c r="Q4" s="8"/>
      <c r="R4" s="8">
        <v>1000</v>
      </c>
      <c r="S4" s="6" t="s">
        <v>318</v>
      </c>
      <c r="T4" s="6" t="s">
        <v>319</v>
      </c>
      <c r="U4" s="7" t="s">
        <v>305</v>
      </c>
      <c r="V4" s="7">
        <v>14</v>
      </c>
      <c r="W4" s="7" t="s">
        <v>309</v>
      </c>
      <c r="X4" s="7">
        <v>35</v>
      </c>
      <c r="Y4" s="7">
        <v>0</v>
      </c>
      <c r="Z4" s="7">
        <v>2005</v>
      </c>
      <c r="AA4" s="7">
        <v>2020</v>
      </c>
    </row>
    <row r="5" spans="1:27" x14ac:dyDescent="0.25">
      <c r="A5" t="s">
        <v>312</v>
      </c>
      <c r="B5" t="s">
        <v>60</v>
      </c>
      <c r="C5" t="s">
        <v>60</v>
      </c>
      <c r="D5" t="s">
        <v>60</v>
      </c>
      <c r="E5" s="6" t="str">
        <f t="shared" si="0"/>
        <v>1 mois</v>
      </c>
      <c r="F5" s="10">
        <v>45078</v>
      </c>
      <c r="G5" s="10">
        <v>45107</v>
      </c>
      <c r="H5" s="7">
        <v>275.2</v>
      </c>
      <c r="I5" s="8"/>
      <c r="J5" s="8"/>
      <c r="K5" s="9">
        <v>45078</v>
      </c>
      <c r="L5" s="8" t="s">
        <v>129</v>
      </c>
      <c r="M5" s="8"/>
      <c r="N5" s="8"/>
      <c r="O5" s="8"/>
      <c r="P5" s="8"/>
      <c r="Q5" s="8"/>
      <c r="R5" s="8">
        <v>1000</v>
      </c>
      <c r="S5" s="6" t="s">
        <v>315</v>
      </c>
      <c r="T5" s="6" t="s">
        <v>314</v>
      </c>
      <c r="U5" s="7" t="s">
        <v>305</v>
      </c>
      <c r="V5" s="7">
        <v>14</v>
      </c>
      <c r="W5" s="7" t="s">
        <v>308</v>
      </c>
      <c r="X5" s="7">
        <v>35</v>
      </c>
      <c r="Y5" s="7">
        <v>0</v>
      </c>
      <c r="Z5" s="7">
        <v>2005</v>
      </c>
      <c r="AA5" s="7">
        <v>2020</v>
      </c>
    </row>
    <row r="6" spans="1:27" x14ac:dyDescent="0.25">
      <c r="A6" t="s">
        <v>313</v>
      </c>
      <c r="B6" t="s">
        <v>60</v>
      </c>
      <c r="C6" t="s">
        <v>60</v>
      </c>
      <c r="D6" t="s">
        <v>60</v>
      </c>
      <c r="E6" s="6" t="str">
        <f t="shared" si="0"/>
        <v>1 mois</v>
      </c>
      <c r="F6" s="10">
        <v>45047</v>
      </c>
      <c r="G6" s="10">
        <v>45077</v>
      </c>
      <c r="H6" s="7">
        <v>53</v>
      </c>
      <c r="I6" s="8"/>
      <c r="J6" s="8"/>
      <c r="K6" s="9">
        <v>45078</v>
      </c>
      <c r="L6" s="8" t="s">
        <v>129</v>
      </c>
      <c r="M6" s="8"/>
      <c r="N6" s="8"/>
      <c r="O6" s="8"/>
      <c r="P6" s="8"/>
      <c r="Q6" s="8"/>
      <c r="R6" s="8">
        <v>1000</v>
      </c>
      <c r="S6" s="6"/>
      <c r="T6" s="6"/>
      <c r="U6" s="7" t="s">
        <v>305</v>
      </c>
      <c r="V6" s="7">
        <v>14</v>
      </c>
      <c r="W6" s="7" t="s">
        <v>308</v>
      </c>
      <c r="X6" s="7">
        <v>35</v>
      </c>
      <c r="Y6" s="7">
        <v>0</v>
      </c>
      <c r="Z6" s="7">
        <v>2005</v>
      </c>
      <c r="AA6" s="7">
        <v>2020</v>
      </c>
    </row>
    <row r="7" spans="1:27" x14ac:dyDescent="0.25">
      <c r="A7" t="s">
        <v>421</v>
      </c>
      <c r="B7" t="s">
        <v>60</v>
      </c>
      <c r="C7" t="s">
        <v>60</v>
      </c>
      <c r="D7" t="s">
        <v>60</v>
      </c>
      <c r="E7" s="6" t="str">
        <f t="shared" si="0"/>
        <v>1 mois</v>
      </c>
      <c r="F7" s="10">
        <v>45413</v>
      </c>
      <c r="G7" s="10">
        <v>45443</v>
      </c>
      <c r="H7" s="7">
        <v>569.48</v>
      </c>
      <c r="I7" s="8">
        <v>1023</v>
      </c>
      <c r="J7" s="8" t="s">
        <v>423</v>
      </c>
      <c r="K7" s="9">
        <v>44971</v>
      </c>
      <c r="L7" s="8" t="s">
        <v>129</v>
      </c>
      <c r="M7" s="8" t="s">
        <v>424</v>
      </c>
      <c r="N7" s="8"/>
      <c r="O7" s="8"/>
      <c r="P7" s="8"/>
      <c r="Q7" s="8"/>
      <c r="R7" s="8">
        <v>431</v>
      </c>
      <c r="S7" s="6" t="s">
        <v>425</v>
      </c>
      <c r="T7" s="6" t="s">
        <v>426</v>
      </c>
      <c r="U7" s="7" t="s">
        <v>305</v>
      </c>
      <c r="V7" s="7">
        <v>15</v>
      </c>
      <c r="W7" s="7" t="s">
        <v>308</v>
      </c>
      <c r="X7" s="7">
        <v>35</v>
      </c>
      <c r="Y7" s="7">
        <v>0</v>
      </c>
      <c r="Z7" s="7">
        <v>2005</v>
      </c>
      <c r="AA7" s="7">
        <v>2020</v>
      </c>
    </row>
    <row r="8" spans="1:27" x14ac:dyDescent="0.25">
      <c r="A8" t="s">
        <v>422</v>
      </c>
      <c r="B8" t="s">
        <v>60</v>
      </c>
      <c r="C8" t="s">
        <v>60</v>
      </c>
      <c r="D8" t="s">
        <v>60</v>
      </c>
      <c r="E8" s="6" t="str">
        <f t="shared" si="0"/>
        <v>1 mois</v>
      </c>
      <c r="F8" s="10">
        <v>45413</v>
      </c>
      <c r="G8" s="10">
        <v>45443</v>
      </c>
      <c r="H8" s="7">
        <v>265</v>
      </c>
      <c r="I8" s="8">
        <v>476</v>
      </c>
      <c r="J8" s="8" t="s">
        <v>427</v>
      </c>
      <c r="K8" s="9">
        <v>45139</v>
      </c>
      <c r="L8" s="8" t="s">
        <v>129</v>
      </c>
      <c r="M8" s="28" t="s">
        <v>428</v>
      </c>
      <c r="N8" s="8"/>
      <c r="O8" s="8"/>
      <c r="P8" s="8"/>
      <c r="Q8" s="8"/>
      <c r="R8" s="8">
        <v>431</v>
      </c>
      <c r="S8" s="6" t="s">
        <v>429</v>
      </c>
      <c r="T8" s="6" t="s">
        <v>430</v>
      </c>
      <c r="U8" s="7" t="s">
        <v>305</v>
      </c>
      <c r="V8" s="7">
        <v>16</v>
      </c>
      <c r="W8" s="7" t="s">
        <v>308</v>
      </c>
      <c r="X8" s="7">
        <v>35</v>
      </c>
      <c r="Y8" s="7">
        <v>0</v>
      </c>
      <c r="Z8" s="7">
        <v>2005</v>
      </c>
      <c r="AA8" s="7">
        <v>2020</v>
      </c>
    </row>
  </sheetData>
  <phoneticPr fontId="2" type="noConversion"/>
  <conditionalFormatting sqref="B1:D8">
    <cfRule type="cellIs" dxfId="5" priority="6" operator="equal">
      <formula>"Oui"</formula>
    </cfRule>
  </conditionalFormatting>
  <conditionalFormatting sqref="E1">
    <cfRule type="cellIs" dxfId="4" priority="3" operator="equal">
      <formula>"Oui"</formula>
    </cfRule>
  </conditionalFormatting>
  <conditionalFormatting sqref="H1:AA1">
    <cfRule type="cellIs" dxfId="3" priority="1" operator="equal">
      <formula>"Oui"</formula>
    </cfRule>
  </conditionalFormatting>
  <dataValidations count="5">
    <dataValidation type="list" allowBlank="1" showInputMessage="1" showErrorMessage="1" sqref="U2:U8" xr:uid="{00000000-0002-0000-0200-000000000000}">
      <formula1>"crystSi,CIS,CdTe"</formula1>
    </dataValidation>
    <dataValidation type="list" allowBlank="1" showInputMessage="1" showErrorMessage="1" sqref="W2:W8" xr:uid="{00000000-0002-0000-0200-000001000000}">
      <formula1>"free,building"</formula1>
    </dataValidation>
    <dataValidation type="list" allowBlank="1" showInputMessage="1" showErrorMessage="1" sqref="E2:E8" xr:uid="{00000000-0002-0000-0200-000002000000}">
      <formula1>"1 mois, 3 mois"</formula1>
    </dataValidation>
    <dataValidation type="list" allowBlank="1" showInputMessage="1" showErrorMessage="1" sqref="L2:L8" xr:uid="{00000000-0002-0000-0200-000003000000}">
      <formula1>"API,csv"</formula1>
    </dataValidation>
    <dataValidation type="list" allowBlank="1" showInputMessage="1" showErrorMessage="1" sqref="B2:D8" xr:uid="{00000000-0002-0000-0200-000004000000}">
      <formula1>"Oui, Non"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D14"/>
  <sheetViews>
    <sheetView topLeftCell="J1" workbookViewId="0">
      <selection activeCell="AB14" sqref="AB14"/>
    </sheetView>
  </sheetViews>
  <sheetFormatPr baseColWidth="10" defaultRowHeight="15" x14ac:dyDescent="0.25"/>
  <cols>
    <col min="1" max="1" width="18.140625" bestFit="1" customWidth="1"/>
    <col min="5" max="5" width="12.85546875" customWidth="1"/>
  </cols>
  <sheetData>
    <row r="1" spans="1:30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2" t="s">
        <v>1</v>
      </c>
      <c r="G1" s="2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246</v>
      </c>
      <c r="R1" s="5" t="s">
        <v>296</v>
      </c>
      <c r="S1" s="5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304</v>
      </c>
      <c r="Y1" t="s">
        <v>302</v>
      </c>
      <c r="Z1" t="s">
        <v>303</v>
      </c>
    </row>
    <row r="2" spans="1:30" x14ac:dyDescent="0.25">
      <c r="A2" t="s">
        <v>342</v>
      </c>
      <c r="B2" t="s">
        <v>59</v>
      </c>
      <c r="C2" t="s">
        <v>60</v>
      </c>
      <c r="D2" t="s">
        <v>60</v>
      </c>
      <c r="E2" s="7" t="s">
        <v>400</v>
      </c>
      <c r="F2" s="10">
        <v>45536</v>
      </c>
      <c r="G2" s="10">
        <v>45565</v>
      </c>
      <c r="H2" s="7">
        <v>200.2</v>
      </c>
      <c r="I2" s="8">
        <v>440</v>
      </c>
      <c r="J2" s="8" t="s">
        <v>345</v>
      </c>
      <c r="K2" s="9">
        <v>44805</v>
      </c>
      <c r="L2" s="8" t="s">
        <v>346</v>
      </c>
      <c r="M2" s="8"/>
      <c r="N2" s="8"/>
      <c r="O2" s="8"/>
      <c r="P2" s="8"/>
      <c r="Q2" s="8">
        <v>431</v>
      </c>
      <c r="R2" s="6" t="s">
        <v>306</v>
      </c>
      <c r="S2" s="6" t="s">
        <v>307</v>
      </c>
      <c r="T2" s="7" t="s">
        <v>305</v>
      </c>
      <c r="U2" s="7">
        <v>14</v>
      </c>
      <c r="V2" s="7" t="s">
        <v>309</v>
      </c>
      <c r="W2" s="7">
        <v>35</v>
      </c>
      <c r="X2" s="7">
        <v>0</v>
      </c>
      <c r="Y2" s="7">
        <v>2005</v>
      </c>
      <c r="Z2" s="7">
        <v>2020</v>
      </c>
    </row>
    <row r="3" spans="1:30" x14ac:dyDescent="0.25">
      <c r="A3" t="s">
        <v>343</v>
      </c>
      <c r="B3" t="s">
        <v>60</v>
      </c>
      <c r="C3" t="s">
        <v>60</v>
      </c>
      <c r="D3" t="s">
        <v>60</v>
      </c>
      <c r="E3" s="7" t="s">
        <v>400</v>
      </c>
      <c r="F3" s="10">
        <v>45261</v>
      </c>
      <c r="G3" s="10">
        <v>45291</v>
      </c>
      <c r="H3" s="7">
        <v>501.4</v>
      </c>
      <c r="I3" s="8">
        <v>1352</v>
      </c>
      <c r="J3" s="8" t="s">
        <v>348</v>
      </c>
      <c r="K3" s="9">
        <v>44105</v>
      </c>
      <c r="L3" s="8" t="s">
        <v>349</v>
      </c>
      <c r="M3" s="8"/>
      <c r="N3" s="8"/>
      <c r="O3" s="8"/>
      <c r="P3" s="8"/>
      <c r="Q3" s="8">
        <v>431</v>
      </c>
      <c r="R3" s="6" t="s">
        <v>350</v>
      </c>
      <c r="S3" s="6" t="s">
        <v>351</v>
      </c>
      <c r="T3" s="7" t="s">
        <v>305</v>
      </c>
      <c r="U3" s="7">
        <v>14</v>
      </c>
      <c r="V3" s="7" t="s">
        <v>309</v>
      </c>
      <c r="W3" s="7">
        <v>35</v>
      </c>
      <c r="X3" s="7">
        <v>0</v>
      </c>
      <c r="Y3" s="7">
        <v>2005</v>
      </c>
      <c r="Z3" s="7">
        <v>2020</v>
      </c>
      <c r="AB3" s="30" t="s">
        <v>446</v>
      </c>
      <c r="AC3" s="30"/>
      <c r="AD3" s="30"/>
    </row>
    <row r="4" spans="1:30" x14ac:dyDescent="0.25">
      <c r="A4" t="s">
        <v>344</v>
      </c>
      <c r="B4" t="s">
        <v>60</v>
      </c>
      <c r="C4" t="s">
        <v>60</v>
      </c>
      <c r="D4" t="s">
        <v>60</v>
      </c>
      <c r="E4" s="7" t="s">
        <v>400</v>
      </c>
      <c r="F4" s="10">
        <v>45231</v>
      </c>
      <c r="G4" s="10">
        <v>45260</v>
      </c>
      <c r="H4" s="7">
        <v>300.3</v>
      </c>
      <c r="I4" s="8">
        <v>660</v>
      </c>
      <c r="J4" s="8" t="s">
        <v>347</v>
      </c>
      <c r="K4" s="9">
        <v>44896</v>
      </c>
      <c r="L4" s="8" t="s">
        <v>346</v>
      </c>
      <c r="M4" s="8"/>
      <c r="N4" s="8"/>
      <c r="O4" s="8"/>
      <c r="P4" s="8"/>
      <c r="Q4" s="8">
        <v>431</v>
      </c>
      <c r="R4" s="6" t="s">
        <v>350</v>
      </c>
      <c r="S4" s="6" t="s">
        <v>352</v>
      </c>
      <c r="T4" s="7" t="s">
        <v>305</v>
      </c>
      <c r="U4" s="7">
        <v>14</v>
      </c>
      <c r="V4" s="7" t="s">
        <v>309</v>
      </c>
      <c r="W4" s="7">
        <v>35</v>
      </c>
      <c r="X4" s="7">
        <v>0</v>
      </c>
      <c r="Y4" s="7">
        <v>2005</v>
      </c>
      <c r="Z4" s="7">
        <v>2020</v>
      </c>
      <c r="AB4" s="30"/>
      <c r="AC4" s="30"/>
      <c r="AD4" s="30"/>
    </row>
    <row r="5" spans="1:30" x14ac:dyDescent="0.25">
      <c r="A5" t="s">
        <v>355</v>
      </c>
      <c r="B5" t="s">
        <v>60</v>
      </c>
      <c r="C5" t="s">
        <v>60</v>
      </c>
      <c r="D5" t="s">
        <v>60</v>
      </c>
      <c r="E5" s="7" t="s">
        <v>400</v>
      </c>
      <c r="F5" s="10">
        <v>45323</v>
      </c>
      <c r="G5" s="10">
        <v>45351</v>
      </c>
      <c r="H5" s="7">
        <v>400.4</v>
      </c>
      <c r="I5" s="8">
        <v>880</v>
      </c>
      <c r="J5" s="8" t="s">
        <v>353</v>
      </c>
      <c r="K5" s="9">
        <v>44743</v>
      </c>
      <c r="L5" s="8" t="s">
        <v>346</v>
      </c>
      <c r="M5" s="8"/>
      <c r="N5" s="8"/>
      <c r="O5" s="8"/>
      <c r="P5" s="8"/>
      <c r="Q5" s="8">
        <v>431</v>
      </c>
      <c r="R5" s="6" t="s">
        <v>354</v>
      </c>
      <c r="S5" s="6" t="s">
        <v>340</v>
      </c>
      <c r="T5" s="7" t="s">
        <v>305</v>
      </c>
      <c r="U5" s="7">
        <v>14</v>
      </c>
      <c r="V5" s="7" t="s">
        <v>309</v>
      </c>
      <c r="W5" s="7">
        <v>35</v>
      </c>
      <c r="X5" s="7">
        <v>0</v>
      </c>
      <c r="Y5" s="7">
        <v>2005</v>
      </c>
      <c r="Z5" s="7">
        <v>2020</v>
      </c>
      <c r="AB5" s="27" t="s">
        <v>447</v>
      </c>
      <c r="AC5" s="29" t="s">
        <v>342</v>
      </c>
      <c r="AD5" s="29"/>
    </row>
    <row r="6" spans="1:30" x14ac:dyDescent="0.25">
      <c r="A6" t="s">
        <v>389</v>
      </c>
      <c r="B6" t="s">
        <v>60</v>
      </c>
      <c r="C6" t="s">
        <v>60</v>
      </c>
      <c r="D6" t="s">
        <v>60</v>
      </c>
      <c r="E6" s="7" t="s">
        <v>400</v>
      </c>
      <c r="F6" s="10">
        <v>45323</v>
      </c>
      <c r="G6" s="10">
        <v>45351</v>
      </c>
      <c r="H6" s="7">
        <v>152.62</v>
      </c>
      <c r="I6" s="8">
        <v>280</v>
      </c>
      <c r="J6" s="8" t="s">
        <v>391</v>
      </c>
      <c r="K6" s="9">
        <v>45216</v>
      </c>
      <c r="L6" s="8" t="s">
        <v>392</v>
      </c>
      <c r="M6" s="8"/>
      <c r="N6" s="8"/>
      <c r="O6" s="8"/>
      <c r="P6" s="8"/>
      <c r="Q6" s="8">
        <v>431</v>
      </c>
      <c r="R6" s="6" t="s">
        <v>393</v>
      </c>
      <c r="S6" s="6" t="s">
        <v>394</v>
      </c>
      <c r="T6" s="7" t="s">
        <v>305</v>
      </c>
      <c r="U6" s="7">
        <v>14</v>
      </c>
      <c r="V6" s="7" t="s">
        <v>309</v>
      </c>
      <c r="W6" s="7">
        <v>35</v>
      </c>
      <c r="X6" s="7">
        <v>0</v>
      </c>
      <c r="Y6" s="7">
        <v>2005</v>
      </c>
      <c r="Z6" s="7">
        <v>2020</v>
      </c>
      <c r="AB6" s="27"/>
      <c r="AC6" s="27"/>
      <c r="AD6" s="27"/>
    </row>
    <row r="7" spans="1:30" ht="15" customHeight="1" x14ac:dyDescent="0.25">
      <c r="A7" t="s">
        <v>390</v>
      </c>
      <c r="B7" t="s">
        <v>60</v>
      </c>
      <c r="C7" t="s">
        <v>60</v>
      </c>
      <c r="D7" t="s">
        <v>60</v>
      </c>
      <c r="E7" s="7" t="s">
        <v>400</v>
      </c>
      <c r="F7" s="10">
        <v>45323</v>
      </c>
      <c r="G7" s="10">
        <v>45351</v>
      </c>
      <c r="H7" s="7">
        <v>144</v>
      </c>
      <c r="I7" s="8">
        <v>77.77</v>
      </c>
      <c r="J7" s="8" t="s">
        <v>395</v>
      </c>
      <c r="K7" s="9">
        <v>45173</v>
      </c>
      <c r="L7" s="8" t="s">
        <v>396</v>
      </c>
      <c r="M7" s="8"/>
      <c r="N7" s="8"/>
      <c r="O7" s="8"/>
      <c r="P7" s="8"/>
      <c r="Q7" s="8">
        <v>431</v>
      </c>
      <c r="R7" s="6" t="s">
        <v>397</v>
      </c>
      <c r="S7" s="6" t="s">
        <v>398</v>
      </c>
      <c r="T7" s="7" t="s">
        <v>305</v>
      </c>
      <c r="U7" s="7">
        <v>14</v>
      </c>
      <c r="V7" s="7" t="s">
        <v>309</v>
      </c>
      <c r="W7" s="7">
        <v>35</v>
      </c>
      <c r="X7" s="7">
        <v>0</v>
      </c>
      <c r="Y7" s="7">
        <v>2005</v>
      </c>
      <c r="Z7" s="7">
        <v>2020</v>
      </c>
      <c r="AB7" s="27"/>
      <c r="AC7" s="27"/>
      <c r="AD7" s="27"/>
    </row>
    <row r="13" spans="1:30" ht="15" customHeight="1" x14ac:dyDescent="0.25"/>
    <row r="14" spans="1:30" ht="15" customHeight="1" x14ac:dyDescent="0.25"/>
  </sheetData>
  <mergeCells count="2">
    <mergeCell ref="AB3:AD4"/>
    <mergeCell ref="AC5:AD5"/>
  </mergeCells>
  <phoneticPr fontId="2" type="noConversion"/>
  <conditionalFormatting sqref="B1:D7">
    <cfRule type="cellIs" dxfId="2" priority="2" operator="equal">
      <formula>"Oui"</formula>
    </cfRule>
  </conditionalFormatting>
  <conditionalFormatting sqref="H1:Z1">
    <cfRule type="cellIs" dxfId="1" priority="4" operator="equal">
      <formula>"Oui"</formula>
    </cfRule>
  </conditionalFormatting>
  <conditionalFormatting sqref="E1:E7">
    <cfRule type="cellIs" dxfId="0" priority="1" operator="equal">
      <formula>"Oui"</formula>
    </cfRule>
  </conditionalFormatting>
  <dataValidations count="5">
    <dataValidation type="list" allowBlank="1" showInputMessage="1" showErrorMessage="1" sqref="B2:D7" xr:uid="{00000000-0002-0000-0300-000000000000}">
      <formula1>"Oui, Non"</formula1>
    </dataValidation>
    <dataValidation type="list" allowBlank="1" showInputMessage="1" showErrorMessage="1" sqref="V2:V7" xr:uid="{00000000-0002-0000-0300-000001000000}">
      <formula1>"free,building"</formula1>
    </dataValidation>
    <dataValidation type="list" allowBlank="1" showInputMessage="1" showErrorMessage="1" sqref="T2:T7" xr:uid="{00000000-0002-0000-0300-000002000000}">
      <formula1>"crystSi,CIS,CdTe"</formula1>
    </dataValidation>
    <dataValidation type="list" allowBlank="1" showInputMessage="1" showErrorMessage="1" sqref="AC5" xr:uid="{16A50AE7-1B9D-44BB-9E6E-D3D50C962212}">
      <formula1>$A$2:$A$120</formula1>
    </dataValidation>
    <dataValidation type="list" allowBlank="1" showInputMessage="1" showErrorMessage="1" sqref="E2:E7" xr:uid="{9793E59F-8D36-4FF4-A8BC-41BF090B8D2C}">
      <formula1>"1 mois, 3 mois"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unPythonScriptMC">
                <anchor moveWithCells="1" sizeWithCells="1">
                  <from>
                    <xdr:col>27</xdr:col>
                    <xdr:colOff>571500</xdr:colOff>
                    <xdr:row>5</xdr:row>
                    <xdr:rowOff>66675</xdr:rowOff>
                  </from>
                  <to>
                    <xdr:col>29</xdr:col>
                    <xdr:colOff>295275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victron energy</vt:lpstr>
      <vt:lpstr>Fronius</vt:lpstr>
      <vt:lpstr>SMA</vt:lpstr>
      <vt:lpstr>meteocontrol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2024-11-07T12:20:59Z</dcterms:modified>
</cp:coreProperties>
</file>